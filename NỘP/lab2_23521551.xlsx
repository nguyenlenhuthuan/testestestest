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ywithAlex\UIT\HK5\NT531\LAB\Lab2\"/>
    </mc:Choice>
  </mc:AlternateContent>
  <xr:revisionPtr revIDLastSave="0" documentId="13_ncr:1_{18189E92-1974-4E62-9C3C-C4D500D331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B8" i="1" l="1"/>
  <c r="C13" i="1" s="1"/>
  <c r="D13" i="1"/>
  <c r="D12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" i="1"/>
  <c r="C27" i="1"/>
  <c r="C29" i="1"/>
  <c r="C35" i="1"/>
  <c r="C37" i="1"/>
  <c r="C43" i="1"/>
  <c r="C45" i="1"/>
  <c r="C51" i="1"/>
  <c r="C53" i="1"/>
  <c r="C59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" i="1"/>
  <c r="C60" i="1" l="1"/>
  <c r="C52" i="1"/>
  <c r="C44" i="1"/>
  <c r="C36" i="1"/>
  <c r="C28" i="1"/>
  <c r="C50" i="1"/>
  <c r="C42" i="1"/>
  <c r="C57" i="1"/>
  <c r="C49" i="1"/>
  <c r="C41" i="1"/>
  <c r="C33" i="1"/>
  <c r="C58" i="1"/>
  <c r="C34" i="1"/>
  <c r="C56" i="1"/>
  <c r="C48" i="1"/>
  <c r="C40" i="1"/>
  <c r="C32" i="1"/>
  <c r="C55" i="1"/>
  <c r="C47" i="1"/>
  <c r="C39" i="1"/>
  <c r="C31" i="1"/>
  <c r="C54" i="1"/>
  <c r="C46" i="1"/>
  <c r="C38" i="1"/>
  <c r="C30" i="1"/>
  <c r="C21" i="1"/>
  <c r="C19" i="1"/>
  <c r="C18" i="1"/>
  <c r="C11" i="1"/>
  <c r="E12" i="1" s="1"/>
  <c r="C12" i="1"/>
  <c r="C26" i="1"/>
  <c r="I2" i="1" s="1"/>
  <c r="C25" i="1"/>
  <c r="C17" i="1"/>
  <c r="C23" i="1"/>
  <c r="C16" i="1"/>
  <c r="C24" i="1"/>
  <c r="C22" i="1"/>
  <c r="C15" i="1"/>
  <c r="C14" i="1"/>
  <c r="C20" i="1"/>
  <c r="E13" i="1" l="1"/>
  <c r="E14" i="1" l="1"/>
  <c r="E15" i="1" l="1"/>
  <c r="E16" i="1" l="1"/>
  <c r="E17" i="1" l="1"/>
  <c r="E18" i="1" l="1"/>
  <c r="E19" i="1" l="1"/>
  <c r="E20" i="1" l="1"/>
  <c r="E21" i="1" l="1"/>
  <c r="E22" i="1" l="1"/>
  <c r="E23" i="1" l="1"/>
  <c r="E24" i="1" l="1"/>
  <c r="E25" i="1" l="1"/>
  <c r="E26" i="1" l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9" i="1" l="1"/>
  <c r="F38" i="1" l="1"/>
  <c r="F35" i="1"/>
  <c r="F75" i="1"/>
  <c r="F96" i="1"/>
  <c r="F32" i="1"/>
  <c r="F83" i="1"/>
  <c r="F105" i="1"/>
  <c r="F87" i="1"/>
  <c r="F94" i="1"/>
  <c r="F30" i="1"/>
  <c r="F85" i="1"/>
  <c r="F41" i="1"/>
  <c r="F67" i="1"/>
  <c r="F97" i="1"/>
  <c r="F88" i="1"/>
  <c r="F59" i="1"/>
  <c r="F89" i="1"/>
  <c r="F79" i="1"/>
  <c r="F86" i="1"/>
  <c r="F77" i="1"/>
  <c r="F68" i="1"/>
  <c r="F82" i="1"/>
  <c r="F56" i="1"/>
  <c r="F111" i="1"/>
  <c r="F33" i="1"/>
  <c r="F45" i="1"/>
  <c r="F11" i="1"/>
  <c r="F50" i="1"/>
  <c r="F46" i="1"/>
  <c r="F37" i="1"/>
  <c r="F99" i="1"/>
  <c r="F104" i="1"/>
  <c r="F107" i="1"/>
  <c r="F31" i="1"/>
  <c r="F29" i="1"/>
  <c r="F108" i="1"/>
  <c r="F51" i="1"/>
  <c r="F81" i="1"/>
  <c r="F80" i="1"/>
  <c r="F43" i="1"/>
  <c r="F73" i="1"/>
  <c r="F71" i="1"/>
  <c r="F90" i="1"/>
  <c r="F78" i="1"/>
  <c r="F69" i="1"/>
  <c r="F60" i="1"/>
  <c r="F106" i="1"/>
  <c r="F64" i="1"/>
  <c r="F76" i="1"/>
  <c r="F34" i="1"/>
  <c r="F36" i="1"/>
  <c r="F74" i="1"/>
  <c r="F109" i="1"/>
  <c r="F12" i="1"/>
  <c r="F39" i="1"/>
  <c r="F101" i="1"/>
  <c r="F102" i="1"/>
  <c r="F84" i="1"/>
  <c r="F65" i="1"/>
  <c r="F72" i="1"/>
  <c r="F100" i="1"/>
  <c r="F27" i="1"/>
  <c r="F49" i="1"/>
  <c r="F63" i="1"/>
  <c r="F58" i="1"/>
  <c r="F70" i="1"/>
  <c r="F92" i="1"/>
  <c r="F61" i="1"/>
  <c r="F57" i="1"/>
  <c r="F98" i="1"/>
  <c r="F55" i="1"/>
  <c r="F62" i="1"/>
  <c r="F53" i="1"/>
  <c r="F44" i="1"/>
  <c r="F52" i="1"/>
  <c r="F47" i="1"/>
  <c r="F54" i="1"/>
  <c r="F28" i="1"/>
  <c r="F66" i="1"/>
  <c r="F48" i="1"/>
  <c r="F103" i="1"/>
  <c r="F110" i="1"/>
  <c r="F91" i="1"/>
  <c r="F42" i="1"/>
  <c r="F40" i="1"/>
  <c r="F95" i="1"/>
  <c r="F93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H91" i="1" l="1"/>
  <c r="G91" i="1"/>
  <c r="H36" i="1"/>
  <c r="G36" i="1"/>
  <c r="G86" i="1"/>
  <c r="H86" i="1"/>
  <c r="H44" i="1"/>
  <c r="G44" i="1"/>
  <c r="H71" i="1"/>
  <c r="G71" i="1"/>
  <c r="H35" i="1"/>
  <c r="G35" i="1"/>
  <c r="H53" i="1"/>
  <c r="G53" i="1"/>
  <c r="H73" i="1"/>
  <c r="G73" i="1"/>
  <c r="G94" i="1"/>
  <c r="H94" i="1"/>
  <c r="H48" i="1"/>
  <c r="G48" i="1"/>
  <c r="H64" i="1"/>
  <c r="G64" i="1"/>
  <c r="H111" i="1"/>
  <c r="G111" i="1"/>
  <c r="H59" i="1"/>
  <c r="G59" i="1"/>
  <c r="H87" i="1"/>
  <c r="G87" i="1"/>
  <c r="H24" i="1"/>
  <c r="G24" i="1"/>
  <c r="H65" i="1"/>
  <c r="G65" i="1"/>
  <c r="H29" i="1"/>
  <c r="G29" i="1"/>
  <c r="H85" i="1"/>
  <c r="G85" i="1"/>
  <c r="G110" i="1"/>
  <c r="H110" i="1"/>
  <c r="H34" i="1"/>
  <c r="G34" i="1"/>
  <c r="H45" i="1"/>
  <c r="G45" i="1"/>
  <c r="H14" i="1"/>
  <c r="G14" i="1"/>
  <c r="H102" i="1"/>
  <c r="G102" i="1"/>
  <c r="H33" i="1"/>
  <c r="G33" i="1"/>
  <c r="H101" i="1"/>
  <c r="G101" i="1"/>
  <c r="H16" i="1"/>
  <c r="I4" i="1"/>
  <c r="G16" i="1"/>
  <c r="H92" i="1"/>
  <c r="G92" i="1"/>
  <c r="H90" i="1"/>
  <c r="G90" i="1"/>
  <c r="H75" i="1"/>
  <c r="G75" i="1"/>
  <c r="H15" i="1"/>
  <c r="G15" i="1"/>
  <c r="H84" i="1"/>
  <c r="G84" i="1"/>
  <c r="H79" i="1"/>
  <c r="G79" i="1"/>
  <c r="H22" i="1"/>
  <c r="G22" i="1"/>
  <c r="H58" i="1"/>
  <c r="G58" i="1"/>
  <c r="H107" i="1"/>
  <c r="G107" i="1"/>
  <c r="H89" i="1"/>
  <c r="G89" i="1"/>
  <c r="H21" i="1"/>
  <c r="G21" i="1"/>
  <c r="G62" i="1"/>
  <c r="H62" i="1"/>
  <c r="H43" i="1"/>
  <c r="G43" i="1"/>
  <c r="H20" i="1"/>
  <c r="G20" i="1"/>
  <c r="H55" i="1"/>
  <c r="G55" i="1"/>
  <c r="H106" i="1"/>
  <c r="G106" i="1"/>
  <c r="H99" i="1"/>
  <c r="G99" i="1"/>
  <c r="H88" i="1"/>
  <c r="G88" i="1"/>
  <c r="H95" i="1"/>
  <c r="G95" i="1"/>
  <c r="H27" i="1"/>
  <c r="G27" i="1"/>
  <c r="H60" i="1"/>
  <c r="G60" i="1"/>
  <c r="H81" i="1"/>
  <c r="G81" i="1"/>
  <c r="H37" i="1"/>
  <c r="G37" i="1"/>
  <c r="H82" i="1"/>
  <c r="G82" i="1"/>
  <c r="H97" i="1"/>
  <c r="G97" i="1"/>
  <c r="H83" i="1"/>
  <c r="G83" i="1"/>
  <c r="H52" i="1"/>
  <c r="G52" i="1"/>
  <c r="I5" i="1"/>
  <c r="H11" i="1"/>
  <c r="G11" i="1"/>
  <c r="H23" i="1"/>
  <c r="G23" i="1"/>
  <c r="G70" i="1"/>
  <c r="H70" i="1"/>
  <c r="H31" i="1"/>
  <c r="G31" i="1"/>
  <c r="H30" i="1"/>
  <c r="G30" i="1"/>
  <c r="H103" i="1"/>
  <c r="G103" i="1"/>
  <c r="H76" i="1"/>
  <c r="G76" i="1"/>
  <c r="G38" i="1"/>
  <c r="H38" i="1"/>
  <c r="H13" i="1"/>
  <c r="G13" i="1"/>
  <c r="H63" i="1"/>
  <c r="G63" i="1"/>
  <c r="H104" i="1"/>
  <c r="G104" i="1"/>
  <c r="H93" i="1"/>
  <c r="G93" i="1"/>
  <c r="H66" i="1"/>
  <c r="G66" i="1"/>
  <c r="H49" i="1"/>
  <c r="G49" i="1"/>
  <c r="H39" i="1"/>
  <c r="G39" i="1"/>
  <c r="H80" i="1"/>
  <c r="G80" i="1"/>
  <c r="H56" i="1"/>
  <c r="G56" i="1"/>
  <c r="H105" i="1"/>
  <c r="G105" i="1"/>
  <c r="H19" i="1"/>
  <c r="G19" i="1"/>
  <c r="H28" i="1"/>
  <c r="G28" i="1"/>
  <c r="H98" i="1"/>
  <c r="G98" i="1"/>
  <c r="H12" i="1"/>
  <c r="G12" i="1"/>
  <c r="H26" i="1"/>
  <c r="I3" i="1"/>
  <c r="G26" i="1"/>
  <c r="H18" i="1"/>
  <c r="G18" i="1"/>
  <c r="H40" i="1"/>
  <c r="G40" i="1"/>
  <c r="H54" i="1"/>
  <c r="G54" i="1"/>
  <c r="H57" i="1"/>
  <c r="G57" i="1"/>
  <c r="H100" i="1"/>
  <c r="G100" i="1"/>
  <c r="H109" i="1"/>
  <c r="G109" i="1"/>
  <c r="H69" i="1"/>
  <c r="G69" i="1"/>
  <c r="H51" i="1"/>
  <c r="G51" i="1"/>
  <c r="G46" i="1"/>
  <c r="H46" i="1"/>
  <c r="H68" i="1"/>
  <c r="G68" i="1"/>
  <c r="H67" i="1"/>
  <c r="G67" i="1"/>
  <c r="H32" i="1"/>
  <c r="G32" i="1"/>
  <c r="H25" i="1"/>
  <c r="G25" i="1"/>
  <c r="H17" i="1"/>
  <c r="G17" i="1"/>
  <c r="H42" i="1"/>
  <c r="G42" i="1"/>
  <c r="H47" i="1"/>
  <c r="G47" i="1"/>
  <c r="H61" i="1"/>
  <c r="G61" i="1"/>
  <c r="H72" i="1"/>
  <c r="G72" i="1"/>
  <c r="H74" i="1"/>
  <c r="G74" i="1"/>
  <c r="H78" i="1"/>
  <c r="G78" i="1"/>
  <c r="H108" i="1"/>
  <c r="G108" i="1"/>
  <c r="H50" i="1"/>
  <c r="G50" i="1"/>
  <c r="H77" i="1"/>
  <c r="G77" i="1"/>
  <c r="H41" i="1"/>
  <c r="G41" i="1"/>
  <c r="H96" i="1"/>
  <c r="G96" i="1"/>
  <c r="F7" i="1" l="1"/>
  <c r="I7" i="1" s="1"/>
  <c r="G9" i="1"/>
  <c r="F4" i="1" s="1"/>
  <c r="F3" i="1" l="1"/>
  <c r="F5" i="1"/>
</calcChain>
</file>

<file path=xl/sharedStrings.xml><?xml version="1.0" encoding="utf-8"?>
<sst xmlns="http://schemas.openxmlformats.org/spreadsheetml/2006/main" count="29" uniqueCount="29">
  <si>
    <t>Hàng đợi M/M/n/K/N</t>
  </si>
  <si>
    <t>Khởi tạo:</t>
  </si>
  <si>
    <t>A</t>
  </si>
  <si>
    <t>n</t>
  </si>
  <si>
    <t>K</t>
  </si>
  <si>
    <t>λ</t>
  </si>
  <si>
    <t>Output:</t>
  </si>
  <si>
    <t>P{im ser.}</t>
  </si>
  <si>
    <t>P{del.}</t>
  </si>
  <si>
    <t>P{loss}</t>
  </si>
  <si>
    <t>E{x}</t>
  </si>
  <si>
    <t>x</t>
  </si>
  <si>
    <t>q</t>
  </si>
  <si>
    <t>N (No. of custumers)</t>
  </si>
  <si>
    <t>tm (arrival time)</t>
  </si>
  <si>
    <t>λ_x</t>
  </si>
  <si>
    <t>μ_x</t>
  </si>
  <si>
    <t>T_x</t>
  </si>
  <si>
    <t>sum of Tx</t>
  </si>
  <si>
    <t>P_x</t>
  </si>
  <si>
    <t>λ_T</t>
  </si>
  <si>
    <t>P{x=K}</t>
  </si>
  <si>
    <t>P{n-1&lt;x&lt;K}</t>
  </si>
  <si>
    <t>P{x&lt;n}</t>
  </si>
  <si>
    <t>λ_x*P_x</t>
  </si>
  <si>
    <t>(x-n)*P(x)</t>
  </si>
  <si>
    <t>E{q|all state}</t>
  </si>
  <si>
    <t>E{q|queue exist}</t>
  </si>
  <si>
    <t>λ_x{x=K}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</si>
</sst>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1"/>
  <sheetViews>
    <sheetView tabSelected="1" zoomScale="91" zoomScaleNormal="102" workbookViewId="0">
      <selection activeCell="C6" sqref="C6"/>
    </sheetView>
  </sheetViews>
  <sheetFormatPr defaultRowHeight="13.8" x14ac:dyDescent="0.25"/>
  <cols>
    <col min="1" max="1" width="20.88671875" style="1" customWidth="1"/>
    <col min="2" max="2" width="11" style="1" customWidth="1"/>
    <col min="3" max="3" width="8.88671875" style="1"/>
    <col min="4" max="4" width="10.88671875" style="1" customWidth="1"/>
    <col min="5" max="5" width="17.109375" style="1" customWidth="1"/>
    <col min="6" max="6" width="17" style="1" customWidth="1"/>
    <col min="7" max="7" width="19.88671875" style="1" customWidth="1"/>
    <col min="8" max="8" width="15.21875" style="1" customWidth="1"/>
    <col min="9" max="9" width="19.44140625" style="1" customWidth="1"/>
    <col min="10" max="16384" width="8.88671875" style="1"/>
  </cols>
  <sheetData>
    <row r="1" spans="1:9" x14ac:dyDescent="0.25">
      <c r="A1" s="1" t="s">
        <v>0</v>
      </c>
    </row>
    <row r="2" spans="1:9" x14ac:dyDescent="0.25">
      <c r="A2" s="1" t="s">
        <v>1</v>
      </c>
      <c r="E2" s="1" t="s">
        <v>6</v>
      </c>
      <c r="H2" s="1" t="s">
        <v>28</v>
      </c>
      <c r="I2" s="1">
        <f>INDEX(C11:C111, MATCH(B6, A11:A111, 0))</f>
        <v>4</v>
      </c>
    </row>
    <row r="3" spans="1:9" x14ac:dyDescent="0.25">
      <c r="A3" s="1" t="s">
        <v>2</v>
      </c>
      <c r="B3" s="1">
        <v>4</v>
      </c>
      <c r="E3" s="1" t="s">
        <v>7</v>
      </c>
      <c r="F3" s="1">
        <f ca="1">SUM($G$11:OFFSET($G$11,$B$4-1,0))/G9</f>
        <v>2.5319917206425798E-9</v>
      </c>
      <c r="H3" s="1" t="s">
        <v>21</v>
      </c>
      <c r="I3" s="1">
        <f>INDEX(F11:F111, MATCH(B6, A11:A111, 0))</f>
        <v>0.70905211688893333</v>
      </c>
    </row>
    <row r="4" spans="1:9" x14ac:dyDescent="0.25">
      <c r="A4" s="1" t="s">
        <v>3</v>
      </c>
      <c r="B4" s="1">
        <v>5</v>
      </c>
      <c r="E4" s="1" t="s">
        <v>8</v>
      </c>
      <c r="F4" s="1">
        <f ca="1">SUM(OFFSET($G$11,$B$4,0):OFFSET($G$11,$B$6-1,0))/G9</f>
        <v>0.37013388234157574</v>
      </c>
      <c r="H4" s="1" t="s">
        <v>22</v>
      </c>
      <c r="I4" s="1">
        <f>SUMIFS($F$11:$F$111, $A$11:$A$111, "&gt;="&amp;$B$4, $A$11:$A$111, "&lt;"&amp;$B$6)</f>
        <v>0.29094788250325676</v>
      </c>
    </row>
    <row r="5" spans="1:9" x14ac:dyDescent="0.25">
      <c r="A5" s="1" t="s">
        <v>14</v>
      </c>
      <c r="B5" s="1">
        <v>3</v>
      </c>
      <c r="E5" s="1" t="s">
        <v>9</v>
      </c>
      <c r="F5" s="1">
        <f ca="1">OFFSET($G$11, $B$6,0)/G9</f>
        <v>0.62986611512643254</v>
      </c>
      <c r="H5" s="1" t="s">
        <v>23</v>
      </c>
      <c r="I5" s="1">
        <f>SUMIFS($F$11:$F$111, $A$11:$A$111, "&lt;"&amp;$B$4)</f>
        <v>6.0781055718816836E-10</v>
      </c>
    </row>
    <row r="6" spans="1:9" x14ac:dyDescent="0.25">
      <c r="A6" s="1" t="s">
        <v>4</v>
      </c>
      <c r="B6" s="1">
        <v>15</v>
      </c>
    </row>
    <row r="7" spans="1:9" x14ac:dyDescent="0.25">
      <c r="A7" s="1" t="s">
        <v>13</v>
      </c>
      <c r="B7" s="1">
        <v>18</v>
      </c>
      <c r="E7" s="1" t="s">
        <v>26</v>
      </c>
      <c r="F7" s="1">
        <f>SUMIFS($H$11:$H$111,$A$11:$A$111,"&gt;="&amp;(B4+1),$A$11:$A$111, "&lt;="&amp;B6)</f>
        <v>9.6228436501449508</v>
      </c>
      <c r="H7" s="1" t="s">
        <v>27</v>
      </c>
      <c r="I7" s="1">
        <f>F7/SUMIFS($F$11:$F$111,$A$11:$A$111,"&gt;="&amp;(B4+1),$A$11:$A$111, "&lt;="&amp;B6)</f>
        <v>9.6228437172221746</v>
      </c>
    </row>
    <row r="8" spans="1:9" x14ac:dyDescent="0.25">
      <c r="A8" s="1" t="s">
        <v>5</v>
      </c>
      <c r="B8" s="2">
        <f>B3/B5</f>
        <v>1.3333333333333333</v>
      </c>
      <c r="E8" s="1" t="s">
        <v>10</v>
      </c>
    </row>
    <row r="9" spans="1:9" x14ac:dyDescent="0.25">
      <c r="D9" s="3" t="s">
        <v>18</v>
      </c>
      <c r="E9" s="1">
        <f xml:space="preserve"> SUM(E12:E111)</f>
        <v>1378891811088658.5</v>
      </c>
      <c r="F9" s="4" t="s">
        <v>20</v>
      </c>
      <c r="G9" s="1">
        <f>SUMIF(A11:A111,"&lt;="&amp;B6,G11:G111)</f>
        <v>4.5028751340059365</v>
      </c>
    </row>
    <row r="10" spans="1:9" x14ac:dyDescent="0.25">
      <c r="A10" s="4" t="s">
        <v>11</v>
      </c>
      <c r="B10" s="4" t="s">
        <v>12</v>
      </c>
      <c r="C10" s="4" t="s">
        <v>15</v>
      </c>
      <c r="D10" s="4" t="s">
        <v>16</v>
      </c>
      <c r="E10" s="4" t="s">
        <v>17</v>
      </c>
      <c r="F10" s="4" t="s">
        <v>19</v>
      </c>
      <c r="G10" s="4" t="s">
        <v>24</v>
      </c>
      <c r="H10" s="4" t="s">
        <v>25</v>
      </c>
    </row>
    <row r="11" spans="1:9" x14ac:dyDescent="0.25">
      <c r="A11" s="1">
        <v>0</v>
      </c>
      <c r="B11" s="1">
        <f>IF(A11&lt;$B$4,0,A11-$B$4)</f>
        <v>0</v>
      </c>
      <c r="C11" s="1">
        <f>IF($B$7=0,$B$8,IF(A11&lt;=$B$6, $B$8*($B$7-A11), 0))</f>
        <v>24</v>
      </c>
      <c r="D11" s="1">
        <f>IF(A11&gt;$B$6,0, IF(A11&gt;$B$4, $B$4/$B$5,A11/$B$5))</f>
        <v>0</v>
      </c>
      <c r="E11" s="1">
        <v>1</v>
      </c>
      <c r="F11" s="1">
        <f>E11/$E$9</f>
        <v>7.2522005857042771E-16</v>
      </c>
      <c r="G11" s="1">
        <f>C11*F11</f>
        <v>1.7405281405690264E-14</v>
      </c>
      <c r="H11" s="1">
        <f>(A11-$B$4)*F11</f>
        <v>-3.6261002928521387E-15</v>
      </c>
    </row>
    <row r="12" spans="1:9" x14ac:dyDescent="0.25">
      <c r="A12" s="1">
        <v>1</v>
      </c>
      <c r="B12" s="1">
        <f t="shared" ref="B12:B75" si="0">IF(A12&lt;$B$4,0,A12-$B$4)</f>
        <v>0</v>
      </c>
      <c r="C12" s="1">
        <f t="shared" ref="C12:C17" si="1">IF($B$7=0,$B$8,IF(A12&lt;=$B$6, $B$8*($B$7-A12), 0))</f>
        <v>22.666666666666664</v>
      </c>
      <c r="D12" s="1">
        <f>IF(A12&gt;$B$6,0, IF(A12&gt;$B$4, $B$4/$B$5,A12/$B$5))</f>
        <v>0.33333333333333331</v>
      </c>
      <c r="E12" s="1">
        <f>IF(A12&gt;$B$6,0,IF(D12=0,0,E11*(C11/D12)))</f>
        <v>72</v>
      </c>
      <c r="F12" s="1">
        <f t="shared" ref="F12:F75" si="2">E12/$E$9</f>
        <v>5.2215844217070793E-14</v>
      </c>
      <c r="G12" s="1">
        <f t="shared" ref="G12:G75" si="3">C12*F12</f>
        <v>1.1835591355869378E-12</v>
      </c>
      <c r="H12" s="1">
        <f t="shared" ref="H12:H75" si="4">(A12-$B$4)*F12</f>
        <v>-2.0886337686828317E-13</v>
      </c>
    </row>
    <row r="13" spans="1:9" x14ac:dyDescent="0.25">
      <c r="A13" s="1">
        <v>2</v>
      </c>
      <c r="B13" s="1">
        <f t="shared" si="0"/>
        <v>0</v>
      </c>
      <c r="C13" s="1">
        <f t="shared" si="1"/>
        <v>21.333333333333332</v>
      </c>
      <c r="D13" s="1">
        <f>IF(A13&gt;$B$6,0, IF(A13&gt;$B$4, $B$4/$B$5,A13/$B$5))</f>
        <v>0.66666666666666663</v>
      </c>
      <c r="E13" s="1">
        <f t="shared" ref="E13:E76" si="5">IF(A13&gt;$B$6,0,IF(D13=0,0,E12*(C12/D13)))</f>
        <v>2448</v>
      </c>
      <c r="F13" s="1">
        <f t="shared" si="2"/>
        <v>1.7753387033804069E-12</v>
      </c>
      <c r="G13" s="1">
        <f t="shared" si="3"/>
        <v>3.787389233878201E-11</v>
      </c>
      <c r="H13" s="1">
        <f t="shared" si="4"/>
        <v>-5.3260161101412207E-12</v>
      </c>
    </row>
    <row r="14" spans="1:9" x14ac:dyDescent="0.25">
      <c r="A14" s="1">
        <v>3</v>
      </c>
      <c r="B14" s="1">
        <f t="shared" si="0"/>
        <v>0</v>
      </c>
      <c r="C14" s="1">
        <f t="shared" si="1"/>
        <v>20</v>
      </c>
      <c r="D14" s="1">
        <f t="shared" ref="D12:D75" si="6">IF(A14&gt;$B$6,0, IF(A14&gt;$B$4, $B$4/$B$5,A14/$B$5))</f>
        <v>1</v>
      </c>
      <c r="E14" s="1">
        <f t="shared" si="5"/>
        <v>52224</v>
      </c>
      <c r="F14" s="1">
        <f t="shared" si="2"/>
        <v>3.7873892338782016E-11</v>
      </c>
      <c r="G14" s="1">
        <f t="shared" si="3"/>
        <v>7.5747784677564035E-10</v>
      </c>
      <c r="H14" s="1">
        <f t="shared" si="4"/>
        <v>-7.5747784677564032E-11</v>
      </c>
    </row>
    <row r="15" spans="1:9" x14ac:dyDescent="0.25">
      <c r="A15" s="1">
        <v>4</v>
      </c>
      <c r="B15" s="1">
        <f t="shared" si="0"/>
        <v>0</v>
      </c>
      <c r="C15" s="1">
        <f t="shared" si="1"/>
        <v>18.666666666666664</v>
      </c>
      <c r="D15" s="1">
        <f t="shared" si="6"/>
        <v>1.3333333333333333</v>
      </c>
      <c r="E15" s="1">
        <f t="shared" si="5"/>
        <v>783360</v>
      </c>
      <c r="F15" s="1">
        <f t="shared" si="2"/>
        <v>5.6810838508173026E-10</v>
      </c>
      <c r="G15" s="1">
        <f t="shared" si="3"/>
        <v>1.0604689854858964E-8</v>
      </c>
      <c r="H15" s="1">
        <f t="shared" si="4"/>
        <v>-5.6810838508173026E-10</v>
      </c>
    </row>
    <row r="16" spans="1:9" x14ac:dyDescent="0.25">
      <c r="A16" s="1">
        <v>5</v>
      </c>
      <c r="B16" s="1">
        <f t="shared" si="0"/>
        <v>0</v>
      </c>
      <c r="C16" s="1">
        <f t="shared" si="1"/>
        <v>17.333333333333332</v>
      </c>
      <c r="D16" s="1">
        <f t="shared" si="6"/>
        <v>1.6666666666666667</v>
      </c>
      <c r="E16" s="1">
        <f t="shared" si="5"/>
        <v>8773631.9999999981</v>
      </c>
      <c r="F16" s="1">
        <f t="shared" si="2"/>
        <v>6.3628139129153771E-9</v>
      </c>
      <c r="G16" s="1">
        <f t="shared" si="3"/>
        <v>1.1028877449053319E-7</v>
      </c>
      <c r="H16" s="1">
        <f t="shared" si="4"/>
        <v>0</v>
      </c>
    </row>
    <row r="17" spans="1:8" x14ac:dyDescent="0.25">
      <c r="A17" s="1">
        <v>6</v>
      </c>
      <c r="B17" s="1">
        <f t="shared" si="0"/>
        <v>1</v>
      </c>
      <c r="C17" s="1">
        <f t="shared" si="1"/>
        <v>16</v>
      </c>
      <c r="D17" s="1">
        <f t="shared" si="6"/>
        <v>1.6666666666666667</v>
      </c>
      <c r="E17" s="1">
        <f t="shared" si="5"/>
        <v>91245772.799999967</v>
      </c>
      <c r="F17" s="1">
        <f t="shared" si="2"/>
        <v>6.6173264694319906E-8</v>
      </c>
      <c r="G17" s="1">
        <f t="shared" si="3"/>
        <v>1.0587722351091185E-6</v>
      </c>
      <c r="H17" s="1">
        <f t="shared" si="4"/>
        <v>6.6173264694319906E-8</v>
      </c>
    </row>
    <row r="18" spans="1:8" x14ac:dyDescent="0.25">
      <c r="A18" s="1">
        <v>7</v>
      </c>
      <c r="B18" s="1">
        <f t="shared" si="0"/>
        <v>2</v>
      </c>
      <c r="C18" s="1">
        <f t="shared" ref="C13:C76" si="7">IF($B$7=0,$B$8,IF(A18&lt;=$B$6, $B$8*($B$7-A18), 0))</f>
        <v>14.666666666666666</v>
      </c>
      <c r="D18" s="1">
        <f t="shared" si="6"/>
        <v>1.6666666666666667</v>
      </c>
      <c r="E18" s="1">
        <f t="shared" si="5"/>
        <v>875959418.87999964</v>
      </c>
      <c r="F18" s="1">
        <f t="shared" si="2"/>
        <v>6.3526334106547108E-7</v>
      </c>
      <c r="G18" s="1">
        <f t="shared" si="3"/>
        <v>9.3171956689602426E-6</v>
      </c>
      <c r="H18" s="1">
        <f t="shared" si="4"/>
        <v>1.2705266821309422E-6</v>
      </c>
    </row>
    <row r="19" spans="1:8" x14ac:dyDescent="0.25">
      <c r="A19" s="1">
        <v>8</v>
      </c>
      <c r="B19" s="1">
        <f t="shared" si="0"/>
        <v>3</v>
      </c>
      <c r="C19" s="1">
        <f t="shared" si="7"/>
        <v>13.333333333333332</v>
      </c>
      <c r="D19" s="1">
        <f t="shared" si="6"/>
        <v>1.6666666666666667</v>
      </c>
      <c r="E19" s="1">
        <f t="shared" si="5"/>
        <v>7708442886.1439962</v>
      </c>
      <c r="F19" s="1">
        <f t="shared" si="2"/>
        <v>5.5903174013761457E-6</v>
      </c>
      <c r="G19" s="1">
        <f t="shared" si="3"/>
        <v>7.4537565351681941E-5</v>
      </c>
      <c r="H19" s="1">
        <f t="shared" si="4"/>
        <v>1.6770952204128436E-5</v>
      </c>
    </row>
    <row r="20" spans="1:8" x14ac:dyDescent="0.25">
      <c r="A20" s="1">
        <v>9</v>
      </c>
      <c r="B20" s="1">
        <f t="shared" si="0"/>
        <v>4</v>
      </c>
      <c r="C20" s="1">
        <f t="shared" si="7"/>
        <v>12</v>
      </c>
      <c r="D20" s="1">
        <f t="shared" si="6"/>
        <v>1.6666666666666667</v>
      </c>
      <c r="E20" s="1">
        <f t="shared" si="5"/>
        <v>61667543089.151962</v>
      </c>
      <c r="F20" s="1">
        <f t="shared" si="2"/>
        <v>4.4722539211009159E-5</v>
      </c>
      <c r="G20" s="1">
        <f t="shared" si="3"/>
        <v>5.3667047053210996E-4</v>
      </c>
      <c r="H20" s="1">
        <f t="shared" si="4"/>
        <v>1.7889015684403664E-4</v>
      </c>
    </row>
    <row r="21" spans="1:8" x14ac:dyDescent="0.25">
      <c r="A21" s="1">
        <v>10</v>
      </c>
      <c r="B21" s="1">
        <f t="shared" si="0"/>
        <v>5</v>
      </c>
      <c r="C21" s="1">
        <f t="shared" si="7"/>
        <v>10.666666666666666</v>
      </c>
      <c r="D21" s="1">
        <f t="shared" si="6"/>
        <v>1.6666666666666667</v>
      </c>
      <c r="E21" s="1">
        <f t="shared" si="5"/>
        <v>444006310241.8941</v>
      </c>
      <c r="F21" s="1">
        <f t="shared" si="2"/>
        <v>3.2200228231926594E-4</v>
      </c>
      <c r="G21" s="1">
        <f t="shared" si="3"/>
        <v>3.4346910114055034E-3</v>
      </c>
      <c r="H21" s="1">
        <f t="shared" si="4"/>
        <v>1.6100114115963297E-3</v>
      </c>
    </row>
    <row r="22" spans="1:8" x14ac:dyDescent="0.25">
      <c r="A22" s="1">
        <v>11</v>
      </c>
      <c r="B22" s="1">
        <f t="shared" si="0"/>
        <v>6</v>
      </c>
      <c r="C22" s="1">
        <f t="shared" si="7"/>
        <v>9.3333333333333321</v>
      </c>
      <c r="D22" s="1">
        <f t="shared" si="6"/>
        <v>1.6666666666666667</v>
      </c>
      <c r="E22" s="1">
        <f t="shared" si="5"/>
        <v>2841640385548.1221</v>
      </c>
      <c r="F22" s="1">
        <f t="shared" si="2"/>
        <v>2.060814606843302E-3</v>
      </c>
      <c r="G22" s="1">
        <f t="shared" si="3"/>
        <v>1.9234269663870814E-2</v>
      </c>
      <c r="H22" s="1">
        <f t="shared" si="4"/>
        <v>1.2364887641059811E-2</v>
      </c>
    </row>
    <row r="23" spans="1:8" x14ac:dyDescent="0.25">
      <c r="A23" s="1">
        <v>12</v>
      </c>
      <c r="B23" s="1">
        <f t="shared" si="0"/>
        <v>7</v>
      </c>
      <c r="C23" s="1">
        <f t="shared" si="7"/>
        <v>8</v>
      </c>
      <c r="D23" s="1">
        <f t="shared" si="6"/>
        <v>1.6666666666666667</v>
      </c>
      <c r="E23" s="1">
        <f t="shared" si="5"/>
        <v>15913186159069.48</v>
      </c>
      <c r="F23" s="1">
        <f t="shared" si="2"/>
        <v>1.1540561798322488E-2</v>
      </c>
      <c r="G23" s="1">
        <f t="shared" si="3"/>
        <v>9.23244943865799E-2</v>
      </c>
      <c r="H23" s="1">
        <f t="shared" si="4"/>
        <v>8.0783932588257418E-2</v>
      </c>
    </row>
    <row r="24" spans="1:8" x14ac:dyDescent="0.25">
      <c r="A24" s="1">
        <v>13</v>
      </c>
      <c r="B24" s="1">
        <f t="shared" si="0"/>
        <v>8</v>
      </c>
      <c r="C24" s="1">
        <f t="shared" si="7"/>
        <v>6.6666666666666661</v>
      </c>
      <c r="D24" s="1">
        <f t="shared" si="6"/>
        <v>1.6666666666666667</v>
      </c>
      <c r="E24" s="1">
        <f t="shared" si="5"/>
        <v>76383293563533.5</v>
      </c>
      <c r="F24" s="1">
        <f t="shared" si="2"/>
        <v>5.5394696631947939E-2</v>
      </c>
      <c r="G24" s="1">
        <f t="shared" si="3"/>
        <v>0.36929797754631954</v>
      </c>
      <c r="H24" s="1">
        <f t="shared" si="4"/>
        <v>0.44315757305558351</v>
      </c>
    </row>
    <row r="25" spans="1:8" x14ac:dyDescent="0.25">
      <c r="A25" s="1">
        <v>14</v>
      </c>
      <c r="B25" s="1">
        <f t="shared" si="0"/>
        <v>9</v>
      </c>
      <c r="C25" s="1">
        <f t="shared" si="7"/>
        <v>5.333333333333333</v>
      </c>
      <c r="D25" s="1">
        <f t="shared" si="6"/>
        <v>1.6666666666666667</v>
      </c>
      <c r="E25" s="1">
        <f t="shared" si="5"/>
        <v>305533174254133.94</v>
      </c>
      <c r="F25" s="1">
        <f t="shared" si="2"/>
        <v>0.2215787865277917</v>
      </c>
      <c r="G25" s="1">
        <f t="shared" si="3"/>
        <v>1.1817535281482223</v>
      </c>
      <c r="H25" s="1">
        <f t="shared" si="4"/>
        <v>1.9942090787501252</v>
      </c>
    </row>
    <row r="26" spans="1:8" x14ac:dyDescent="0.25">
      <c r="A26" s="1">
        <v>15</v>
      </c>
      <c r="B26" s="1">
        <f t="shared" si="0"/>
        <v>10</v>
      </c>
      <c r="C26" s="1">
        <f t="shared" si="7"/>
        <v>4</v>
      </c>
      <c r="D26" s="1">
        <f t="shared" si="6"/>
        <v>1.6666666666666667</v>
      </c>
      <c r="E26" s="1">
        <f t="shared" si="5"/>
        <v>977706157613228.5</v>
      </c>
      <c r="F26" s="1">
        <f t="shared" si="2"/>
        <v>0.70905211688893333</v>
      </c>
      <c r="G26" s="1">
        <f t="shared" si="3"/>
        <v>2.8362084675557333</v>
      </c>
      <c r="H26" s="1">
        <f t="shared" si="4"/>
        <v>7.0905211688893335</v>
      </c>
    </row>
    <row r="27" spans="1:8" x14ac:dyDescent="0.25">
      <c r="A27" s="1">
        <v>16</v>
      </c>
      <c r="B27" s="1">
        <f t="shared" si="0"/>
        <v>11</v>
      </c>
      <c r="C27" s="1">
        <f t="shared" si="7"/>
        <v>0</v>
      </c>
      <c r="D27" s="1">
        <f t="shared" si="6"/>
        <v>0</v>
      </c>
      <c r="E27" s="1">
        <f t="shared" si="5"/>
        <v>0</v>
      </c>
      <c r="F27" s="1">
        <f t="shared" si="2"/>
        <v>0</v>
      </c>
      <c r="G27" s="1">
        <f t="shared" si="3"/>
        <v>0</v>
      </c>
      <c r="H27" s="1">
        <f t="shared" si="4"/>
        <v>0</v>
      </c>
    </row>
    <row r="28" spans="1:8" x14ac:dyDescent="0.25">
      <c r="A28" s="1">
        <v>17</v>
      </c>
      <c r="B28" s="1">
        <f t="shared" si="0"/>
        <v>12</v>
      </c>
      <c r="C28" s="1">
        <f t="shared" si="7"/>
        <v>0</v>
      </c>
      <c r="D28" s="1">
        <f t="shared" si="6"/>
        <v>0</v>
      </c>
      <c r="E28" s="1">
        <f t="shared" si="5"/>
        <v>0</v>
      </c>
      <c r="F28" s="1">
        <f t="shared" si="2"/>
        <v>0</v>
      </c>
      <c r="G28" s="1">
        <f t="shared" si="3"/>
        <v>0</v>
      </c>
      <c r="H28" s="1">
        <f t="shared" si="4"/>
        <v>0</v>
      </c>
    </row>
    <row r="29" spans="1:8" x14ac:dyDescent="0.25">
      <c r="A29" s="1">
        <v>18</v>
      </c>
      <c r="B29" s="1">
        <f t="shared" si="0"/>
        <v>13</v>
      </c>
      <c r="C29" s="1">
        <f t="shared" si="7"/>
        <v>0</v>
      </c>
      <c r="D29" s="1">
        <f t="shared" si="6"/>
        <v>0</v>
      </c>
      <c r="E29" s="1">
        <f t="shared" si="5"/>
        <v>0</v>
      </c>
      <c r="F29" s="1">
        <f t="shared" si="2"/>
        <v>0</v>
      </c>
      <c r="G29" s="1">
        <f t="shared" si="3"/>
        <v>0</v>
      </c>
      <c r="H29" s="1">
        <f t="shared" si="4"/>
        <v>0</v>
      </c>
    </row>
    <row r="30" spans="1:8" x14ac:dyDescent="0.25">
      <c r="A30" s="1">
        <v>19</v>
      </c>
      <c r="B30" s="1">
        <f t="shared" si="0"/>
        <v>14</v>
      </c>
      <c r="C30" s="1">
        <f t="shared" si="7"/>
        <v>0</v>
      </c>
      <c r="D30" s="1">
        <f t="shared" si="6"/>
        <v>0</v>
      </c>
      <c r="E30" s="1">
        <f t="shared" si="5"/>
        <v>0</v>
      </c>
      <c r="F30" s="1">
        <f t="shared" si="2"/>
        <v>0</v>
      </c>
      <c r="G30" s="1">
        <f t="shared" si="3"/>
        <v>0</v>
      </c>
      <c r="H30" s="1">
        <f t="shared" si="4"/>
        <v>0</v>
      </c>
    </row>
    <row r="31" spans="1:8" x14ac:dyDescent="0.25">
      <c r="A31" s="1">
        <v>20</v>
      </c>
      <c r="B31" s="1">
        <f t="shared" si="0"/>
        <v>15</v>
      </c>
      <c r="C31" s="1">
        <f t="shared" si="7"/>
        <v>0</v>
      </c>
      <c r="D31" s="1">
        <f t="shared" si="6"/>
        <v>0</v>
      </c>
      <c r="E31" s="1">
        <f t="shared" si="5"/>
        <v>0</v>
      </c>
      <c r="F31" s="1">
        <f t="shared" si="2"/>
        <v>0</v>
      </c>
      <c r="G31" s="1">
        <f t="shared" si="3"/>
        <v>0</v>
      </c>
      <c r="H31" s="1">
        <f t="shared" si="4"/>
        <v>0</v>
      </c>
    </row>
    <row r="32" spans="1:8" x14ac:dyDescent="0.25">
      <c r="A32" s="1">
        <v>21</v>
      </c>
      <c r="B32" s="1">
        <f t="shared" si="0"/>
        <v>16</v>
      </c>
      <c r="C32" s="1">
        <f t="shared" si="7"/>
        <v>0</v>
      </c>
      <c r="D32" s="1">
        <f t="shared" si="6"/>
        <v>0</v>
      </c>
      <c r="E32" s="1">
        <f t="shared" si="5"/>
        <v>0</v>
      </c>
      <c r="F32" s="1">
        <f t="shared" si="2"/>
        <v>0</v>
      </c>
      <c r="G32" s="1">
        <f t="shared" si="3"/>
        <v>0</v>
      </c>
      <c r="H32" s="1">
        <f t="shared" si="4"/>
        <v>0</v>
      </c>
    </row>
    <row r="33" spans="1:8" x14ac:dyDescent="0.25">
      <c r="A33" s="1">
        <v>22</v>
      </c>
      <c r="B33" s="1">
        <f t="shared" si="0"/>
        <v>17</v>
      </c>
      <c r="C33" s="1">
        <f t="shared" si="7"/>
        <v>0</v>
      </c>
      <c r="D33" s="1">
        <f t="shared" si="6"/>
        <v>0</v>
      </c>
      <c r="E33" s="1">
        <f t="shared" si="5"/>
        <v>0</v>
      </c>
      <c r="F33" s="1">
        <f t="shared" si="2"/>
        <v>0</v>
      </c>
      <c r="G33" s="1">
        <f t="shared" si="3"/>
        <v>0</v>
      </c>
      <c r="H33" s="1">
        <f t="shared" si="4"/>
        <v>0</v>
      </c>
    </row>
    <row r="34" spans="1:8" x14ac:dyDescent="0.25">
      <c r="A34" s="1">
        <v>23</v>
      </c>
      <c r="B34" s="1">
        <f t="shared" si="0"/>
        <v>18</v>
      </c>
      <c r="C34" s="1">
        <f t="shared" si="7"/>
        <v>0</v>
      </c>
      <c r="D34" s="1">
        <f t="shared" si="6"/>
        <v>0</v>
      </c>
      <c r="E34" s="1">
        <f t="shared" si="5"/>
        <v>0</v>
      </c>
      <c r="F34" s="1">
        <f t="shared" si="2"/>
        <v>0</v>
      </c>
      <c r="G34" s="1">
        <f t="shared" si="3"/>
        <v>0</v>
      </c>
      <c r="H34" s="1">
        <f t="shared" si="4"/>
        <v>0</v>
      </c>
    </row>
    <row r="35" spans="1:8" x14ac:dyDescent="0.25">
      <c r="A35" s="1">
        <v>24</v>
      </c>
      <c r="B35" s="1">
        <f t="shared" si="0"/>
        <v>19</v>
      </c>
      <c r="C35" s="1">
        <f t="shared" si="7"/>
        <v>0</v>
      </c>
      <c r="D35" s="1">
        <f t="shared" si="6"/>
        <v>0</v>
      </c>
      <c r="E35" s="1">
        <f t="shared" si="5"/>
        <v>0</v>
      </c>
      <c r="F35" s="1">
        <f t="shared" si="2"/>
        <v>0</v>
      </c>
      <c r="G35" s="1">
        <f t="shared" si="3"/>
        <v>0</v>
      </c>
      <c r="H35" s="1">
        <f t="shared" si="4"/>
        <v>0</v>
      </c>
    </row>
    <row r="36" spans="1:8" x14ac:dyDescent="0.25">
      <c r="A36" s="1">
        <v>25</v>
      </c>
      <c r="B36" s="1">
        <f t="shared" si="0"/>
        <v>20</v>
      </c>
      <c r="C36" s="1">
        <f t="shared" si="7"/>
        <v>0</v>
      </c>
      <c r="D36" s="1">
        <f t="shared" si="6"/>
        <v>0</v>
      </c>
      <c r="E36" s="1">
        <f t="shared" si="5"/>
        <v>0</v>
      </c>
      <c r="F36" s="1">
        <f t="shared" si="2"/>
        <v>0</v>
      </c>
      <c r="G36" s="1">
        <f t="shared" si="3"/>
        <v>0</v>
      </c>
      <c r="H36" s="1">
        <f t="shared" si="4"/>
        <v>0</v>
      </c>
    </row>
    <row r="37" spans="1:8" x14ac:dyDescent="0.25">
      <c r="A37" s="1">
        <v>26</v>
      </c>
      <c r="B37" s="1">
        <f t="shared" si="0"/>
        <v>21</v>
      </c>
      <c r="C37" s="1">
        <f t="shared" si="7"/>
        <v>0</v>
      </c>
      <c r="D37" s="1">
        <f t="shared" si="6"/>
        <v>0</v>
      </c>
      <c r="E37" s="1">
        <f t="shared" si="5"/>
        <v>0</v>
      </c>
      <c r="F37" s="1">
        <f t="shared" si="2"/>
        <v>0</v>
      </c>
      <c r="G37" s="1">
        <f t="shared" si="3"/>
        <v>0</v>
      </c>
      <c r="H37" s="1">
        <f t="shared" si="4"/>
        <v>0</v>
      </c>
    </row>
    <row r="38" spans="1:8" x14ac:dyDescent="0.25">
      <c r="A38" s="1">
        <v>27</v>
      </c>
      <c r="B38" s="1">
        <f t="shared" si="0"/>
        <v>22</v>
      </c>
      <c r="C38" s="1">
        <f t="shared" si="7"/>
        <v>0</v>
      </c>
      <c r="D38" s="1">
        <f t="shared" si="6"/>
        <v>0</v>
      </c>
      <c r="E38" s="1">
        <f t="shared" si="5"/>
        <v>0</v>
      </c>
      <c r="F38" s="1">
        <f t="shared" si="2"/>
        <v>0</v>
      </c>
      <c r="G38" s="1">
        <f t="shared" si="3"/>
        <v>0</v>
      </c>
      <c r="H38" s="1">
        <f t="shared" si="4"/>
        <v>0</v>
      </c>
    </row>
    <row r="39" spans="1:8" x14ac:dyDescent="0.25">
      <c r="A39" s="1">
        <v>28</v>
      </c>
      <c r="B39" s="1">
        <f t="shared" si="0"/>
        <v>23</v>
      </c>
      <c r="C39" s="1">
        <f t="shared" si="7"/>
        <v>0</v>
      </c>
      <c r="D39" s="1">
        <f t="shared" si="6"/>
        <v>0</v>
      </c>
      <c r="E39" s="1">
        <f t="shared" si="5"/>
        <v>0</v>
      </c>
      <c r="F39" s="1">
        <f t="shared" si="2"/>
        <v>0</v>
      </c>
      <c r="G39" s="1">
        <f t="shared" si="3"/>
        <v>0</v>
      </c>
      <c r="H39" s="1">
        <f t="shared" si="4"/>
        <v>0</v>
      </c>
    </row>
    <row r="40" spans="1:8" x14ac:dyDescent="0.25">
      <c r="A40" s="1">
        <v>29</v>
      </c>
      <c r="B40" s="1">
        <f t="shared" si="0"/>
        <v>24</v>
      </c>
      <c r="C40" s="1">
        <f t="shared" si="7"/>
        <v>0</v>
      </c>
      <c r="D40" s="1">
        <f t="shared" si="6"/>
        <v>0</v>
      </c>
      <c r="E40" s="1">
        <f t="shared" si="5"/>
        <v>0</v>
      </c>
      <c r="F40" s="1">
        <f t="shared" si="2"/>
        <v>0</v>
      </c>
      <c r="G40" s="1">
        <f t="shared" si="3"/>
        <v>0</v>
      </c>
      <c r="H40" s="1">
        <f t="shared" si="4"/>
        <v>0</v>
      </c>
    </row>
    <row r="41" spans="1:8" x14ac:dyDescent="0.25">
      <c r="A41" s="1">
        <v>30</v>
      </c>
      <c r="B41" s="1">
        <f t="shared" si="0"/>
        <v>25</v>
      </c>
      <c r="C41" s="1">
        <f t="shared" si="7"/>
        <v>0</v>
      </c>
      <c r="D41" s="1">
        <f t="shared" si="6"/>
        <v>0</v>
      </c>
      <c r="E41" s="1">
        <f t="shared" si="5"/>
        <v>0</v>
      </c>
      <c r="F41" s="1">
        <f t="shared" si="2"/>
        <v>0</v>
      </c>
      <c r="G41" s="1">
        <f t="shared" si="3"/>
        <v>0</v>
      </c>
      <c r="H41" s="1">
        <f t="shared" si="4"/>
        <v>0</v>
      </c>
    </row>
    <row r="42" spans="1:8" x14ac:dyDescent="0.25">
      <c r="A42" s="1">
        <v>31</v>
      </c>
      <c r="B42" s="1">
        <f t="shared" si="0"/>
        <v>26</v>
      </c>
      <c r="C42" s="1">
        <f t="shared" si="7"/>
        <v>0</v>
      </c>
      <c r="D42" s="1">
        <f t="shared" si="6"/>
        <v>0</v>
      </c>
      <c r="E42" s="1">
        <f t="shared" si="5"/>
        <v>0</v>
      </c>
      <c r="F42" s="1">
        <f t="shared" si="2"/>
        <v>0</v>
      </c>
      <c r="G42" s="1">
        <f t="shared" si="3"/>
        <v>0</v>
      </c>
      <c r="H42" s="1">
        <f t="shared" si="4"/>
        <v>0</v>
      </c>
    </row>
    <row r="43" spans="1:8" x14ac:dyDescent="0.25">
      <c r="A43" s="1">
        <v>32</v>
      </c>
      <c r="B43" s="1">
        <f t="shared" si="0"/>
        <v>27</v>
      </c>
      <c r="C43" s="1">
        <f t="shared" si="7"/>
        <v>0</v>
      </c>
      <c r="D43" s="1">
        <f t="shared" si="6"/>
        <v>0</v>
      </c>
      <c r="E43" s="1">
        <f t="shared" si="5"/>
        <v>0</v>
      </c>
      <c r="F43" s="1">
        <f t="shared" si="2"/>
        <v>0</v>
      </c>
      <c r="G43" s="1">
        <f t="shared" si="3"/>
        <v>0</v>
      </c>
      <c r="H43" s="1">
        <f t="shared" si="4"/>
        <v>0</v>
      </c>
    </row>
    <row r="44" spans="1:8" x14ac:dyDescent="0.25">
      <c r="A44" s="1">
        <v>33</v>
      </c>
      <c r="B44" s="1">
        <f t="shared" si="0"/>
        <v>28</v>
      </c>
      <c r="C44" s="1">
        <f t="shared" si="7"/>
        <v>0</v>
      </c>
      <c r="D44" s="1">
        <f t="shared" si="6"/>
        <v>0</v>
      </c>
      <c r="E44" s="1">
        <f t="shared" si="5"/>
        <v>0</v>
      </c>
      <c r="F44" s="1">
        <f t="shared" si="2"/>
        <v>0</v>
      </c>
      <c r="G44" s="1">
        <f t="shared" si="3"/>
        <v>0</v>
      </c>
      <c r="H44" s="1">
        <f t="shared" si="4"/>
        <v>0</v>
      </c>
    </row>
    <row r="45" spans="1:8" x14ac:dyDescent="0.25">
      <c r="A45" s="1">
        <v>34</v>
      </c>
      <c r="B45" s="1">
        <f t="shared" si="0"/>
        <v>29</v>
      </c>
      <c r="C45" s="1">
        <f t="shared" si="7"/>
        <v>0</v>
      </c>
      <c r="D45" s="1">
        <f t="shared" si="6"/>
        <v>0</v>
      </c>
      <c r="E45" s="1">
        <f t="shared" si="5"/>
        <v>0</v>
      </c>
      <c r="F45" s="1">
        <f t="shared" si="2"/>
        <v>0</v>
      </c>
      <c r="G45" s="1">
        <f t="shared" si="3"/>
        <v>0</v>
      </c>
      <c r="H45" s="1">
        <f t="shared" si="4"/>
        <v>0</v>
      </c>
    </row>
    <row r="46" spans="1:8" x14ac:dyDescent="0.25">
      <c r="A46" s="1">
        <v>35</v>
      </c>
      <c r="B46" s="1">
        <f t="shared" si="0"/>
        <v>30</v>
      </c>
      <c r="C46" s="1">
        <f t="shared" si="7"/>
        <v>0</v>
      </c>
      <c r="D46" s="1">
        <f t="shared" si="6"/>
        <v>0</v>
      </c>
      <c r="E46" s="1">
        <f t="shared" si="5"/>
        <v>0</v>
      </c>
      <c r="F46" s="1">
        <f t="shared" si="2"/>
        <v>0</v>
      </c>
      <c r="G46" s="1">
        <f t="shared" si="3"/>
        <v>0</v>
      </c>
      <c r="H46" s="1">
        <f t="shared" si="4"/>
        <v>0</v>
      </c>
    </row>
    <row r="47" spans="1:8" x14ac:dyDescent="0.25">
      <c r="A47" s="1">
        <v>36</v>
      </c>
      <c r="B47" s="1">
        <f t="shared" si="0"/>
        <v>31</v>
      </c>
      <c r="C47" s="1">
        <f t="shared" si="7"/>
        <v>0</v>
      </c>
      <c r="D47" s="1">
        <f t="shared" si="6"/>
        <v>0</v>
      </c>
      <c r="E47" s="1">
        <f t="shared" si="5"/>
        <v>0</v>
      </c>
      <c r="F47" s="1">
        <f t="shared" si="2"/>
        <v>0</v>
      </c>
      <c r="G47" s="1">
        <f t="shared" si="3"/>
        <v>0</v>
      </c>
      <c r="H47" s="1">
        <f t="shared" si="4"/>
        <v>0</v>
      </c>
    </row>
    <row r="48" spans="1:8" x14ac:dyDescent="0.25">
      <c r="A48" s="1">
        <v>37</v>
      </c>
      <c r="B48" s="1">
        <f t="shared" si="0"/>
        <v>32</v>
      </c>
      <c r="C48" s="1">
        <f t="shared" si="7"/>
        <v>0</v>
      </c>
      <c r="D48" s="1">
        <f t="shared" si="6"/>
        <v>0</v>
      </c>
      <c r="E48" s="1">
        <f t="shared" si="5"/>
        <v>0</v>
      </c>
      <c r="F48" s="1">
        <f t="shared" si="2"/>
        <v>0</v>
      </c>
      <c r="G48" s="1">
        <f t="shared" si="3"/>
        <v>0</v>
      </c>
      <c r="H48" s="1">
        <f t="shared" si="4"/>
        <v>0</v>
      </c>
    </row>
    <row r="49" spans="1:8" x14ac:dyDescent="0.25">
      <c r="A49" s="1">
        <v>38</v>
      </c>
      <c r="B49" s="1">
        <f t="shared" si="0"/>
        <v>33</v>
      </c>
      <c r="C49" s="1">
        <f t="shared" si="7"/>
        <v>0</v>
      </c>
      <c r="D49" s="1">
        <f t="shared" si="6"/>
        <v>0</v>
      </c>
      <c r="E49" s="1">
        <f t="shared" si="5"/>
        <v>0</v>
      </c>
      <c r="F49" s="1">
        <f t="shared" si="2"/>
        <v>0</v>
      </c>
      <c r="G49" s="1">
        <f t="shared" si="3"/>
        <v>0</v>
      </c>
      <c r="H49" s="1">
        <f t="shared" si="4"/>
        <v>0</v>
      </c>
    </row>
    <row r="50" spans="1:8" x14ac:dyDescent="0.25">
      <c r="A50" s="1">
        <v>39</v>
      </c>
      <c r="B50" s="1">
        <f t="shared" si="0"/>
        <v>34</v>
      </c>
      <c r="C50" s="1">
        <f t="shared" si="7"/>
        <v>0</v>
      </c>
      <c r="D50" s="1">
        <f t="shared" si="6"/>
        <v>0</v>
      </c>
      <c r="E50" s="1">
        <f t="shared" si="5"/>
        <v>0</v>
      </c>
      <c r="F50" s="1">
        <f t="shared" si="2"/>
        <v>0</v>
      </c>
      <c r="G50" s="1">
        <f t="shared" si="3"/>
        <v>0</v>
      </c>
      <c r="H50" s="1">
        <f t="shared" si="4"/>
        <v>0</v>
      </c>
    </row>
    <row r="51" spans="1:8" x14ac:dyDescent="0.25">
      <c r="A51" s="1">
        <v>40</v>
      </c>
      <c r="B51" s="1">
        <f t="shared" si="0"/>
        <v>35</v>
      </c>
      <c r="C51" s="1">
        <f t="shared" si="7"/>
        <v>0</v>
      </c>
      <c r="D51" s="1">
        <f t="shared" si="6"/>
        <v>0</v>
      </c>
      <c r="E51" s="1">
        <f t="shared" si="5"/>
        <v>0</v>
      </c>
      <c r="F51" s="1">
        <f t="shared" si="2"/>
        <v>0</v>
      </c>
      <c r="G51" s="1">
        <f t="shared" si="3"/>
        <v>0</v>
      </c>
      <c r="H51" s="1">
        <f t="shared" si="4"/>
        <v>0</v>
      </c>
    </row>
    <row r="52" spans="1:8" x14ac:dyDescent="0.25">
      <c r="A52" s="1">
        <v>41</v>
      </c>
      <c r="B52" s="1">
        <f t="shared" si="0"/>
        <v>36</v>
      </c>
      <c r="C52" s="1">
        <f t="shared" si="7"/>
        <v>0</v>
      </c>
      <c r="D52" s="1">
        <f t="shared" si="6"/>
        <v>0</v>
      </c>
      <c r="E52" s="1">
        <f t="shared" si="5"/>
        <v>0</v>
      </c>
      <c r="F52" s="1">
        <f t="shared" si="2"/>
        <v>0</v>
      </c>
      <c r="G52" s="1">
        <f t="shared" si="3"/>
        <v>0</v>
      </c>
      <c r="H52" s="1">
        <f t="shared" si="4"/>
        <v>0</v>
      </c>
    </row>
    <row r="53" spans="1:8" x14ac:dyDescent="0.25">
      <c r="A53" s="1">
        <v>42</v>
      </c>
      <c r="B53" s="1">
        <f t="shared" si="0"/>
        <v>37</v>
      </c>
      <c r="C53" s="1">
        <f t="shared" si="7"/>
        <v>0</v>
      </c>
      <c r="D53" s="1">
        <f t="shared" si="6"/>
        <v>0</v>
      </c>
      <c r="E53" s="1">
        <f t="shared" si="5"/>
        <v>0</v>
      </c>
      <c r="F53" s="1">
        <f t="shared" si="2"/>
        <v>0</v>
      </c>
      <c r="G53" s="1">
        <f t="shared" si="3"/>
        <v>0</v>
      </c>
      <c r="H53" s="1">
        <f t="shared" si="4"/>
        <v>0</v>
      </c>
    </row>
    <row r="54" spans="1:8" x14ac:dyDescent="0.25">
      <c r="A54" s="1">
        <v>43</v>
      </c>
      <c r="B54" s="1">
        <f t="shared" si="0"/>
        <v>38</v>
      </c>
      <c r="C54" s="1">
        <f t="shared" si="7"/>
        <v>0</v>
      </c>
      <c r="D54" s="1">
        <f t="shared" si="6"/>
        <v>0</v>
      </c>
      <c r="E54" s="1">
        <f t="shared" si="5"/>
        <v>0</v>
      </c>
      <c r="F54" s="1">
        <f t="shared" si="2"/>
        <v>0</v>
      </c>
      <c r="G54" s="1">
        <f t="shared" si="3"/>
        <v>0</v>
      </c>
      <c r="H54" s="1">
        <f t="shared" si="4"/>
        <v>0</v>
      </c>
    </row>
    <row r="55" spans="1:8" x14ac:dyDescent="0.25">
      <c r="A55" s="1">
        <v>44</v>
      </c>
      <c r="B55" s="1">
        <f t="shared" si="0"/>
        <v>39</v>
      </c>
      <c r="C55" s="1">
        <f t="shared" si="7"/>
        <v>0</v>
      </c>
      <c r="D55" s="1">
        <f t="shared" si="6"/>
        <v>0</v>
      </c>
      <c r="E55" s="1">
        <f t="shared" si="5"/>
        <v>0</v>
      </c>
      <c r="F55" s="1">
        <f t="shared" si="2"/>
        <v>0</v>
      </c>
      <c r="G55" s="1">
        <f t="shared" si="3"/>
        <v>0</v>
      </c>
      <c r="H55" s="1">
        <f t="shared" si="4"/>
        <v>0</v>
      </c>
    </row>
    <row r="56" spans="1:8" x14ac:dyDescent="0.25">
      <c r="A56" s="1">
        <v>45</v>
      </c>
      <c r="B56" s="1">
        <f t="shared" si="0"/>
        <v>40</v>
      </c>
      <c r="C56" s="1">
        <f t="shared" si="7"/>
        <v>0</v>
      </c>
      <c r="D56" s="1">
        <f t="shared" si="6"/>
        <v>0</v>
      </c>
      <c r="E56" s="1">
        <f t="shared" si="5"/>
        <v>0</v>
      </c>
      <c r="F56" s="1">
        <f t="shared" si="2"/>
        <v>0</v>
      </c>
      <c r="G56" s="1">
        <f t="shared" si="3"/>
        <v>0</v>
      </c>
      <c r="H56" s="1">
        <f t="shared" si="4"/>
        <v>0</v>
      </c>
    </row>
    <row r="57" spans="1:8" x14ac:dyDescent="0.25">
      <c r="A57" s="1">
        <v>46</v>
      </c>
      <c r="B57" s="1">
        <f t="shared" si="0"/>
        <v>41</v>
      </c>
      <c r="C57" s="1">
        <f t="shared" si="7"/>
        <v>0</v>
      </c>
      <c r="D57" s="1">
        <f t="shared" si="6"/>
        <v>0</v>
      </c>
      <c r="E57" s="1">
        <f t="shared" si="5"/>
        <v>0</v>
      </c>
      <c r="F57" s="1">
        <f t="shared" si="2"/>
        <v>0</v>
      </c>
      <c r="G57" s="1">
        <f t="shared" si="3"/>
        <v>0</v>
      </c>
      <c r="H57" s="1">
        <f t="shared" si="4"/>
        <v>0</v>
      </c>
    </row>
    <row r="58" spans="1:8" x14ac:dyDescent="0.25">
      <c r="A58" s="1">
        <v>47</v>
      </c>
      <c r="B58" s="1">
        <f t="shared" si="0"/>
        <v>42</v>
      </c>
      <c r="C58" s="1">
        <f t="shared" si="7"/>
        <v>0</v>
      </c>
      <c r="D58" s="1">
        <f t="shared" si="6"/>
        <v>0</v>
      </c>
      <c r="E58" s="1">
        <f t="shared" si="5"/>
        <v>0</v>
      </c>
      <c r="F58" s="1">
        <f t="shared" si="2"/>
        <v>0</v>
      </c>
      <c r="G58" s="1">
        <f t="shared" si="3"/>
        <v>0</v>
      </c>
      <c r="H58" s="1">
        <f t="shared" si="4"/>
        <v>0</v>
      </c>
    </row>
    <row r="59" spans="1:8" x14ac:dyDescent="0.25">
      <c r="A59" s="1">
        <v>48</v>
      </c>
      <c r="B59" s="1">
        <f t="shared" si="0"/>
        <v>43</v>
      </c>
      <c r="C59" s="1">
        <f t="shared" si="7"/>
        <v>0</v>
      </c>
      <c r="D59" s="1">
        <f t="shared" si="6"/>
        <v>0</v>
      </c>
      <c r="E59" s="1">
        <f t="shared" si="5"/>
        <v>0</v>
      </c>
      <c r="F59" s="1">
        <f t="shared" si="2"/>
        <v>0</v>
      </c>
      <c r="G59" s="1">
        <f t="shared" si="3"/>
        <v>0</v>
      </c>
      <c r="H59" s="1">
        <f t="shared" si="4"/>
        <v>0</v>
      </c>
    </row>
    <row r="60" spans="1:8" x14ac:dyDescent="0.25">
      <c r="A60" s="1">
        <v>49</v>
      </c>
      <c r="B60" s="1">
        <f t="shared" si="0"/>
        <v>44</v>
      </c>
      <c r="C60" s="1">
        <f t="shared" si="7"/>
        <v>0</v>
      </c>
      <c r="D60" s="1">
        <f t="shared" si="6"/>
        <v>0</v>
      </c>
      <c r="E60" s="1">
        <f t="shared" si="5"/>
        <v>0</v>
      </c>
      <c r="F60" s="1">
        <f t="shared" si="2"/>
        <v>0</v>
      </c>
      <c r="G60" s="1">
        <f t="shared" si="3"/>
        <v>0</v>
      </c>
      <c r="H60" s="1">
        <f t="shared" si="4"/>
        <v>0</v>
      </c>
    </row>
    <row r="61" spans="1:8" x14ac:dyDescent="0.25">
      <c r="A61" s="1">
        <v>50</v>
      </c>
      <c r="B61" s="1">
        <f t="shared" si="0"/>
        <v>45</v>
      </c>
      <c r="C61" s="1">
        <f t="shared" si="7"/>
        <v>0</v>
      </c>
      <c r="D61" s="1">
        <f t="shared" si="6"/>
        <v>0</v>
      </c>
      <c r="E61" s="1">
        <f t="shared" si="5"/>
        <v>0</v>
      </c>
      <c r="F61" s="1">
        <f t="shared" si="2"/>
        <v>0</v>
      </c>
      <c r="G61" s="1">
        <f t="shared" si="3"/>
        <v>0</v>
      </c>
      <c r="H61" s="1">
        <f t="shared" si="4"/>
        <v>0</v>
      </c>
    </row>
    <row r="62" spans="1:8" x14ac:dyDescent="0.25">
      <c r="A62" s="1">
        <v>51</v>
      </c>
      <c r="B62" s="1">
        <f t="shared" si="0"/>
        <v>46</v>
      </c>
      <c r="C62" s="1">
        <f t="shared" si="7"/>
        <v>0</v>
      </c>
      <c r="D62" s="1">
        <f t="shared" si="6"/>
        <v>0</v>
      </c>
      <c r="E62" s="1">
        <f t="shared" si="5"/>
        <v>0</v>
      </c>
      <c r="F62" s="1">
        <f t="shared" si="2"/>
        <v>0</v>
      </c>
      <c r="G62" s="1">
        <f t="shared" si="3"/>
        <v>0</v>
      </c>
      <c r="H62" s="1">
        <f t="shared" si="4"/>
        <v>0</v>
      </c>
    </row>
    <row r="63" spans="1:8" x14ac:dyDescent="0.25">
      <c r="A63" s="1">
        <v>52</v>
      </c>
      <c r="B63" s="1">
        <f t="shared" si="0"/>
        <v>47</v>
      </c>
      <c r="C63" s="1">
        <f t="shared" si="7"/>
        <v>0</v>
      </c>
      <c r="D63" s="1">
        <f t="shared" si="6"/>
        <v>0</v>
      </c>
      <c r="E63" s="1">
        <f t="shared" si="5"/>
        <v>0</v>
      </c>
      <c r="F63" s="1">
        <f t="shared" si="2"/>
        <v>0</v>
      </c>
      <c r="G63" s="1">
        <f t="shared" si="3"/>
        <v>0</v>
      </c>
      <c r="H63" s="1">
        <f t="shared" si="4"/>
        <v>0</v>
      </c>
    </row>
    <row r="64" spans="1:8" x14ac:dyDescent="0.25">
      <c r="A64" s="1">
        <v>53</v>
      </c>
      <c r="B64" s="1">
        <f t="shared" si="0"/>
        <v>48</v>
      </c>
      <c r="C64" s="1">
        <f t="shared" si="7"/>
        <v>0</v>
      </c>
      <c r="D64" s="1">
        <f t="shared" si="6"/>
        <v>0</v>
      </c>
      <c r="E64" s="1">
        <f t="shared" si="5"/>
        <v>0</v>
      </c>
      <c r="F64" s="1">
        <f t="shared" si="2"/>
        <v>0</v>
      </c>
      <c r="G64" s="1">
        <f t="shared" si="3"/>
        <v>0</v>
      </c>
      <c r="H64" s="1">
        <f t="shared" si="4"/>
        <v>0</v>
      </c>
    </row>
    <row r="65" spans="1:8" x14ac:dyDescent="0.25">
      <c r="A65" s="1">
        <v>54</v>
      </c>
      <c r="B65" s="1">
        <f t="shared" si="0"/>
        <v>49</v>
      </c>
      <c r="C65" s="1">
        <f t="shared" si="7"/>
        <v>0</v>
      </c>
      <c r="D65" s="1">
        <f t="shared" si="6"/>
        <v>0</v>
      </c>
      <c r="E65" s="1">
        <f t="shared" si="5"/>
        <v>0</v>
      </c>
      <c r="F65" s="1">
        <f t="shared" si="2"/>
        <v>0</v>
      </c>
      <c r="G65" s="1">
        <f t="shared" si="3"/>
        <v>0</v>
      </c>
      <c r="H65" s="1">
        <f t="shared" si="4"/>
        <v>0</v>
      </c>
    </row>
    <row r="66" spans="1:8" x14ac:dyDescent="0.25">
      <c r="A66" s="1">
        <v>55</v>
      </c>
      <c r="B66" s="1">
        <f t="shared" si="0"/>
        <v>50</v>
      </c>
      <c r="C66" s="1">
        <f t="shared" si="7"/>
        <v>0</v>
      </c>
      <c r="D66" s="1">
        <f t="shared" si="6"/>
        <v>0</v>
      </c>
      <c r="E66" s="1">
        <f t="shared" si="5"/>
        <v>0</v>
      </c>
      <c r="F66" s="1">
        <f t="shared" si="2"/>
        <v>0</v>
      </c>
      <c r="G66" s="1">
        <f t="shared" si="3"/>
        <v>0</v>
      </c>
      <c r="H66" s="1">
        <f t="shared" si="4"/>
        <v>0</v>
      </c>
    </row>
    <row r="67" spans="1:8" x14ac:dyDescent="0.25">
      <c r="A67" s="1">
        <v>56</v>
      </c>
      <c r="B67" s="1">
        <f t="shared" si="0"/>
        <v>51</v>
      </c>
      <c r="C67" s="1">
        <f t="shared" si="7"/>
        <v>0</v>
      </c>
      <c r="D67" s="1">
        <f t="shared" si="6"/>
        <v>0</v>
      </c>
      <c r="E67" s="1">
        <f t="shared" si="5"/>
        <v>0</v>
      </c>
      <c r="F67" s="1">
        <f t="shared" si="2"/>
        <v>0</v>
      </c>
      <c r="G67" s="1">
        <f t="shared" si="3"/>
        <v>0</v>
      </c>
      <c r="H67" s="1">
        <f t="shared" si="4"/>
        <v>0</v>
      </c>
    </row>
    <row r="68" spans="1:8" x14ac:dyDescent="0.25">
      <c r="A68" s="1">
        <v>57</v>
      </c>
      <c r="B68" s="1">
        <f t="shared" si="0"/>
        <v>52</v>
      </c>
      <c r="C68" s="1">
        <f t="shared" si="7"/>
        <v>0</v>
      </c>
      <c r="D68" s="1">
        <f t="shared" si="6"/>
        <v>0</v>
      </c>
      <c r="E68" s="1">
        <f t="shared" si="5"/>
        <v>0</v>
      </c>
      <c r="F68" s="1">
        <f t="shared" si="2"/>
        <v>0</v>
      </c>
      <c r="G68" s="1">
        <f t="shared" si="3"/>
        <v>0</v>
      </c>
      <c r="H68" s="1">
        <f t="shared" si="4"/>
        <v>0</v>
      </c>
    </row>
    <row r="69" spans="1:8" x14ac:dyDescent="0.25">
      <c r="A69" s="1">
        <v>58</v>
      </c>
      <c r="B69" s="1">
        <f t="shared" si="0"/>
        <v>53</v>
      </c>
      <c r="C69" s="1">
        <f t="shared" si="7"/>
        <v>0</v>
      </c>
      <c r="D69" s="1">
        <f t="shared" si="6"/>
        <v>0</v>
      </c>
      <c r="E69" s="1">
        <f t="shared" si="5"/>
        <v>0</v>
      </c>
      <c r="F69" s="1">
        <f t="shared" si="2"/>
        <v>0</v>
      </c>
      <c r="G69" s="1">
        <f t="shared" si="3"/>
        <v>0</v>
      </c>
      <c r="H69" s="1">
        <f t="shared" si="4"/>
        <v>0</v>
      </c>
    </row>
    <row r="70" spans="1:8" x14ac:dyDescent="0.25">
      <c r="A70" s="1">
        <v>59</v>
      </c>
      <c r="B70" s="1">
        <f t="shared" si="0"/>
        <v>54</v>
      </c>
      <c r="C70" s="1">
        <f t="shared" si="7"/>
        <v>0</v>
      </c>
      <c r="D70" s="1">
        <f t="shared" si="6"/>
        <v>0</v>
      </c>
      <c r="E70" s="1">
        <f t="shared" si="5"/>
        <v>0</v>
      </c>
      <c r="F70" s="1">
        <f t="shared" si="2"/>
        <v>0</v>
      </c>
      <c r="G70" s="1">
        <f t="shared" si="3"/>
        <v>0</v>
      </c>
      <c r="H70" s="1">
        <f t="shared" si="4"/>
        <v>0</v>
      </c>
    </row>
    <row r="71" spans="1:8" x14ac:dyDescent="0.25">
      <c r="A71" s="1">
        <v>60</v>
      </c>
      <c r="B71" s="1">
        <f t="shared" si="0"/>
        <v>55</v>
      </c>
      <c r="C71" s="1">
        <f t="shared" si="7"/>
        <v>0</v>
      </c>
      <c r="D71" s="1">
        <f t="shared" si="6"/>
        <v>0</v>
      </c>
      <c r="E71" s="1">
        <f t="shared" si="5"/>
        <v>0</v>
      </c>
      <c r="F71" s="1">
        <f t="shared" si="2"/>
        <v>0</v>
      </c>
      <c r="G71" s="1">
        <f t="shared" si="3"/>
        <v>0</v>
      </c>
      <c r="H71" s="1">
        <f t="shared" si="4"/>
        <v>0</v>
      </c>
    </row>
    <row r="72" spans="1:8" x14ac:dyDescent="0.25">
      <c r="A72" s="1">
        <v>61</v>
      </c>
      <c r="B72" s="1">
        <f t="shared" si="0"/>
        <v>56</v>
      </c>
      <c r="C72" s="1">
        <f t="shared" si="7"/>
        <v>0</v>
      </c>
      <c r="D72" s="1">
        <f t="shared" si="6"/>
        <v>0</v>
      </c>
      <c r="E72" s="1">
        <f t="shared" si="5"/>
        <v>0</v>
      </c>
      <c r="F72" s="1">
        <f t="shared" si="2"/>
        <v>0</v>
      </c>
      <c r="G72" s="1">
        <f t="shared" si="3"/>
        <v>0</v>
      </c>
      <c r="H72" s="1">
        <f t="shared" si="4"/>
        <v>0</v>
      </c>
    </row>
    <row r="73" spans="1:8" x14ac:dyDescent="0.25">
      <c r="A73" s="1">
        <v>62</v>
      </c>
      <c r="B73" s="1">
        <f t="shared" si="0"/>
        <v>57</v>
      </c>
      <c r="C73" s="1">
        <f t="shared" si="7"/>
        <v>0</v>
      </c>
      <c r="D73" s="1">
        <f t="shared" si="6"/>
        <v>0</v>
      </c>
      <c r="E73" s="1">
        <f t="shared" si="5"/>
        <v>0</v>
      </c>
      <c r="F73" s="1">
        <f t="shared" si="2"/>
        <v>0</v>
      </c>
      <c r="G73" s="1">
        <f t="shared" si="3"/>
        <v>0</v>
      </c>
      <c r="H73" s="1">
        <f t="shared" si="4"/>
        <v>0</v>
      </c>
    </row>
    <row r="74" spans="1:8" x14ac:dyDescent="0.25">
      <c r="A74" s="1">
        <v>63</v>
      </c>
      <c r="B74" s="1">
        <f t="shared" si="0"/>
        <v>58</v>
      </c>
      <c r="C74" s="1">
        <f t="shared" si="7"/>
        <v>0</v>
      </c>
      <c r="D74" s="1">
        <f t="shared" si="6"/>
        <v>0</v>
      </c>
      <c r="E74" s="1">
        <f t="shared" si="5"/>
        <v>0</v>
      </c>
      <c r="F74" s="1">
        <f t="shared" si="2"/>
        <v>0</v>
      </c>
      <c r="G74" s="1">
        <f t="shared" si="3"/>
        <v>0</v>
      </c>
      <c r="H74" s="1">
        <f t="shared" si="4"/>
        <v>0</v>
      </c>
    </row>
    <row r="75" spans="1:8" x14ac:dyDescent="0.25">
      <c r="A75" s="1">
        <v>64</v>
      </c>
      <c r="B75" s="1">
        <f t="shared" si="0"/>
        <v>59</v>
      </c>
      <c r="C75" s="1">
        <f t="shared" si="7"/>
        <v>0</v>
      </c>
      <c r="D75" s="1">
        <f t="shared" si="6"/>
        <v>0</v>
      </c>
      <c r="E75" s="1">
        <f t="shared" si="5"/>
        <v>0</v>
      </c>
      <c r="F75" s="1">
        <f t="shared" si="2"/>
        <v>0</v>
      </c>
      <c r="G75" s="1">
        <f t="shared" si="3"/>
        <v>0</v>
      </c>
      <c r="H75" s="1">
        <f t="shared" si="4"/>
        <v>0</v>
      </c>
    </row>
    <row r="76" spans="1:8" x14ac:dyDescent="0.25">
      <c r="A76" s="1">
        <v>65</v>
      </c>
      <c r="B76" s="1">
        <f t="shared" ref="B76:B111" si="8">IF(A76&lt;$B$4,0,A76-$B$4)</f>
        <v>60</v>
      </c>
      <c r="C76" s="1">
        <f t="shared" si="7"/>
        <v>0</v>
      </c>
      <c r="D76" s="1">
        <f t="shared" ref="D76:D111" si="9">IF(A76&gt;$B$6,0, IF(A76&gt;$B$4, $B$4/$B$5,A76/$B$5))</f>
        <v>0</v>
      </c>
      <c r="E76" s="1">
        <f t="shared" si="5"/>
        <v>0</v>
      </c>
      <c r="F76" s="1">
        <f t="shared" ref="F76:F111" si="10">E76/$E$9</f>
        <v>0</v>
      </c>
      <c r="G76" s="1">
        <f t="shared" ref="G76:G111" si="11">C76*F76</f>
        <v>0</v>
      </c>
      <c r="H76" s="1">
        <f t="shared" ref="H76:H111" si="12">(A76-$B$4)*F76</f>
        <v>0</v>
      </c>
    </row>
    <row r="77" spans="1:8" x14ac:dyDescent="0.25">
      <c r="A77" s="1">
        <v>66</v>
      </c>
      <c r="B77" s="1">
        <f t="shared" si="8"/>
        <v>61</v>
      </c>
      <c r="C77" s="1">
        <f t="shared" ref="C77:C111" si="13">IF($B$7=0,$B$8,IF(A77&lt;=$B$6, $B$8*($B$7-A77), 0))</f>
        <v>0</v>
      </c>
      <c r="D77" s="1">
        <f t="shared" si="9"/>
        <v>0</v>
      </c>
      <c r="E77" s="1">
        <f t="shared" ref="E77:E111" si="14">IF(A77&gt;$B$6,0,IF(D77=0,0,E76*(C76/D77)))</f>
        <v>0</v>
      </c>
      <c r="F77" s="1">
        <f t="shared" si="10"/>
        <v>0</v>
      </c>
      <c r="G77" s="1">
        <f t="shared" si="11"/>
        <v>0</v>
      </c>
      <c r="H77" s="1">
        <f t="shared" si="12"/>
        <v>0</v>
      </c>
    </row>
    <row r="78" spans="1:8" x14ac:dyDescent="0.25">
      <c r="A78" s="1">
        <v>67</v>
      </c>
      <c r="B78" s="1">
        <f t="shared" si="8"/>
        <v>62</v>
      </c>
      <c r="C78" s="1">
        <f t="shared" si="13"/>
        <v>0</v>
      </c>
      <c r="D78" s="1">
        <f t="shared" si="9"/>
        <v>0</v>
      </c>
      <c r="E78" s="1">
        <f t="shared" si="14"/>
        <v>0</v>
      </c>
      <c r="F78" s="1">
        <f t="shared" si="10"/>
        <v>0</v>
      </c>
      <c r="G78" s="1">
        <f t="shared" si="11"/>
        <v>0</v>
      </c>
      <c r="H78" s="1">
        <f t="shared" si="12"/>
        <v>0</v>
      </c>
    </row>
    <row r="79" spans="1:8" x14ac:dyDescent="0.25">
      <c r="A79" s="1">
        <v>68</v>
      </c>
      <c r="B79" s="1">
        <f t="shared" si="8"/>
        <v>63</v>
      </c>
      <c r="C79" s="1">
        <f t="shared" si="13"/>
        <v>0</v>
      </c>
      <c r="D79" s="1">
        <f t="shared" si="9"/>
        <v>0</v>
      </c>
      <c r="E79" s="1">
        <f t="shared" si="14"/>
        <v>0</v>
      </c>
      <c r="F79" s="1">
        <f t="shared" si="10"/>
        <v>0</v>
      </c>
      <c r="G79" s="1">
        <f t="shared" si="11"/>
        <v>0</v>
      </c>
      <c r="H79" s="1">
        <f t="shared" si="12"/>
        <v>0</v>
      </c>
    </row>
    <row r="80" spans="1:8" x14ac:dyDescent="0.25">
      <c r="A80" s="1">
        <v>69</v>
      </c>
      <c r="B80" s="1">
        <f t="shared" si="8"/>
        <v>64</v>
      </c>
      <c r="C80" s="1">
        <f t="shared" si="13"/>
        <v>0</v>
      </c>
      <c r="D80" s="1">
        <f t="shared" si="9"/>
        <v>0</v>
      </c>
      <c r="E80" s="1">
        <f t="shared" si="14"/>
        <v>0</v>
      </c>
      <c r="F80" s="1">
        <f t="shared" si="10"/>
        <v>0</v>
      </c>
      <c r="G80" s="1">
        <f t="shared" si="11"/>
        <v>0</v>
      </c>
      <c r="H80" s="1">
        <f t="shared" si="12"/>
        <v>0</v>
      </c>
    </row>
    <row r="81" spans="1:8" x14ac:dyDescent="0.25">
      <c r="A81" s="1">
        <v>70</v>
      </c>
      <c r="B81" s="1">
        <f t="shared" si="8"/>
        <v>65</v>
      </c>
      <c r="C81" s="1">
        <f t="shared" si="13"/>
        <v>0</v>
      </c>
      <c r="D81" s="1">
        <f t="shared" si="9"/>
        <v>0</v>
      </c>
      <c r="E81" s="1">
        <f t="shared" si="14"/>
        <v>0</v>
      </c>
      <c r="F81" s="1">
        <f t="shared" si="10"/>
        <v>0</v>
      </c>
      <c r="G81" s="1">
        <f t="shared" si="11"/>
        <v>0</v>
      </c>
      <c r="H81" s="1">
        <f t="shared" si="12"/>
        <v>0</v>
      </c>
    </row>
    <row r="82" spans="1:8" x14ac:dyDescent="0.25">
      <c r="A82" s="1">
        <v>71</v>
      </c>
      <c r="B82" s="1">
        <f t="shared" si="8"/>
        <v>66</v>
      </c>
      <c r="C82" s="1">
        <f t="shared" si="13"/>
        <v>0</v>
      </c>
      <c r="D82" s="1">
        <f t="shared" si="9"/>
        <v>0</v>
      </c>
      <c r="E82" s="1">
        <f t="shared" si="14"/>
        <v>0</v>
      </c>
      <c r="F82" s="1">
        <f t="shared" si="10"/>
        <v>0</v>
      </c>
      <c r="G82" s="1">
        <f t="shared" si="11"/>
        <v>0</v>
      </c>
      <c r="H82" s="1">
        <f t="shared" si="12"/>
        <v>0</v>
      </c>
    </row>
    <row r="83" spans="1:8" x14ac:dyDescent="0.25">
      <c r="A83" s="1">
        <v>72</v>
      </c>
      <c r="B83" s="1">
        <f t="shared" si="8"/>
        <v>67</v>
      </c>
      <c r="C83" s="1">
        <f t="shared" si="13"/>
        <v>0</v>
      </c>
      <c r="D83" s="1">
        <f t="shared" si="9"/>
        <v>0</v>
      </c>
      <c r="E83" s="1">
        <f t="shared" si="14"/>
        <v>0</v>
      </c>
      <c r="F83" s="1">
        <f t="shared" si="10"/>
        <v>0</v>
      </c>
      <c r="G83" s="1">
        <f t="shared" si="11"/>
        <v>0</v>
      </c>
      <c r="H83" s="1">
        <f t="shared" si="12"/>
        <v>0</v>
      </c>
    </row>
    <row r="84" spans="1:8" x14ac:dyDescent="0.25">
      <c r="A84" s="1">
        <v>73</v>
      </c>
      <c r="B84" s="1">
        <f t="shared" si="8"/>
        <v>68</v>
      </c>
      <c r="C84" s="1">
        <f t="shared" si="13"/>
        <v>0</v>
      </c>
      <c r="D84" s="1">
        <f t="shared" si="9"/>
        <v>0</v>
      </c>
      <c r="E84" s="1">
        <f t="shared" si="14"/>
        <v>0</v>
      </c>
      <c r="F84" s="1">
        <f t="shared" si="10"/>
        <v>0</v>
      </c>
      <c r="G84" s="1">
        <f t="shared" si="11"/>
        <v>0</v>
      </c>
      <c r="H84" s="1">
        <f t="shared" si="12"/>
        <v>0</v>
      </c>
    </row>
    <row r="85" spans="1:8" x14ac:dyDescent="0.25">
      <c r="A85" s="1">
        <v>74</v>
      </c>
      <c r="B85" s="1">
        <f t="shared" si="8"/>
        <v>69</v>
      </c>
      <c r="C85" s="1">
        <f t="shared" si="13"/>
        <v>0</v>
      </c>
      <c r="D85" s="1">
        <f t="shared" si="9"/>
        <v>0</v>
      </c>
      <c r="E85" s="1">
        <f t="shared" si="14"/>
        <v>0</v>
      </c>
      <c r="F85" s="1">
        <f t="shared" si="10"/>
        <v>0</v>
      </c>
      <c r="G85" s="1">
        <f t="shared" si="11"/>
        <v>0</v>
      </c>
      <c r="H85" s="1">
        <f t="shared" si="12"/>
        <v>0</v>
      </c>
    </row>
    <row r="86" spans="1:8" x14ac:dyDescent="0.25">
      <c r="A86" s="1">
        <v>75</v>
      </c>
      <c r="B86" s="1">
        <f t="shared" si="8"/>
        <v>70</v>
      </c>
      <c r="C86" s="1">
        <f t="shared" si="13"/>
        <v>0</v>
      </c>
      <c r="D86" s="1">
        <f t="shared" si="9"/>
        <v>0</v>
      </c>
      <c r="E86" s="1">
        <f t="shared" si="14"/>
        <v>0</v>
      </c>
      <c r="F86" s="1">
        <f t="shared" si="10"/>
        <v>0</v>
      </c>
      <c r="G86" s="1">
        <f t="shared" si="11"/>
        <v>0</v>
      </c>
      <c r="H86" s="1">
        <f t="shared" si="12"/>
        <v>0</v>
      </c>
    </row>
    <row r="87" spans="1:8" x14ac:dyDescent="0.25">
      <c r="A87" s="1">
        <v>76</v>
      </c>
      <c r="B87" s="1">
        <f t="shared" si="8"/>
        <v>71</v>
      </c>
      <c r="C87" s="1">
        <f t="shared" si="13"/>
        <v>0</v>
      </c>
      <c r="D87" s="1">
        <f t="shared" si="9"/>
        <v>0</v>
      </c>
      <c r="E87" s="1">
        <f t="shared" si="14"/>
        <v>0</v>
      </c>
      <c r="F87" s="1">
        <f t="shared" si="10"/>
        <v>0</v>
      </c>
      <c r="G87" s="1">
        <f t="shared" si="11"/>
        <v>0</v>
      </c>
      <c r="H87" s="1">
        <f t="shared" si="12"/>
        <v>0</v>
      </c>
    </row>
    <row r="88" spans="1:8" x14ac:dyDescent="0.25">
      <c r="A88" s="1">
        <v>77</v>
      </c>
      <c r="B88" s="1">
        <f t="shared" si="8"/>
        <v>72</v>
      </c>
      <c r="C88" s="1">
        <f t="shared" si="13"/>
        <v>0</v>
      </c>
      <c r="D88" s="1">
        <f t="shared" si="9"/>
        <v>0</v>
      </c>
      <c r="E88" s="1">
        <f t="shared" si="14"/>
        <v>0</v>
      </c>
      <c r="F88" s="1">
        <f t="shared" si="10"/>
        <v>0</v>
      </c>
      <c r="G88" s="1">
        <f t="shared" si="11"/>
        <v>0</v>
      </c>
      <c r="H88" s="1">
        <f t="shared" si="12"/>
        <v>0</v>
      </c>
    </row>
    <row r="89" spans="1:8" x14ac:dyDescent="0.25">
      <c r="A89" s="1">
        <v>78</v>
      </c>
      <c r="B89" s="1">
        <f t="shared" si="8"/>
        <v>73</v>
      </c>
      <c r="C89" s="1">
        <f t="shared" si="13"/>
        <v>0</v>
      </c>
      <c r="D89" s="1">
        <f t="shared" si="9"/>
        <v>0</v>
      </c>
      <c r="E89" s="1">
        <f t="shared" si="14"/>
        <v>0</v>
      </c>
      <c r="F89" s="1">
        <f t="shared" si="10"/>
        <v>0</v>
      </c>
      <c r="G89" s="1">
        <f t="shared" si="11"/>
        <v>0</v>
      </c>
      <c r="H89" s="1">
        <f t="shared" si="12"/>
        <v>0</v>
      </c>
    </row>
    <row r="90" spans="1:8" x14ac:dyDescent="0.25">
      <c r="A90" s="1">
        <v>79</v>
      </c>
      <c r="B90" s="1">
        <f t="shared" si="8"/>
        <v>74</v>
      </c>
      <c r="C90" s="1">
        <f t="shared" si="13"/>
        <v>0</v>
      </c>
      <c r="D90" s="1">
        <f t="shared" si="9"/>
        <v>0</v>
      </c>
      <c r="E90" s="1">
        <f t="shared" si="14"/>
        <v>0</v>
      </c>
      <c r="F90" s="1">
        <f t="shared" si="10"/>
        <v>0</v>
      </c>
      <c r="G90" s="1">
        <f t="shared" si="11"/>
        <v>0</v>
      </c>
      <c r="H90" s="1">
        <f t="shared" si="12"/>
        <v>0</v>
      </c>
    </row>
    <row r="91" spans="1:8" x14ac:dyDescent="0.25">
      <c r="A91" s="1">
        <v>80</v>
      </c>
      <c r="B91" s="1">
        <f t="shared" si="8"/>
        <v>75</v>
      </c>
      <c r="C91" s="1">
        <f t="shared" si="13"/>
        <v>0</v>
      </c>
      <c r="D91" s="1">
        <f t="shared" si="9"/>
        <v>0</v>
      </c>
      <c r="E91" s="1">
        <f t="shared" si="14"/>
        <v>0</v>
      </c>
      <c r="F91" s="1">
        <f t="shared" si="10"/>
        <v>0</v>
      </c>
      <c r="G91" s="1">
        <f t="shared" si="11"/>
        <v>0</v>
      </c>
      <c r="H91" s="1">
        <f t="shared" si="12"/>
        <v>0</v>
      </c>
    </row>
    <row r="92" spans="1:8" x14ac:dyDescent="0.25">
      <c r="A92" s="1">
        <v>81</v>
      </c>
      <c r="B92" s="1">
        <f t="shared" si="8"/>
        <v>76</v>
      </c>
      <c r="C92" s="1">
        <f t="shared" si="13"/>
        <v>0</v>
      </c>
      <c r="D92" s="1">
        <f t="shared" si="9"/>
        <v>0</v>
      </c>
      <c r="E92" s="1">
        <f t="shared" si="14"/>
        <v>0</v>
      </c>
      <c r="F92" s="1">
        <f t="shared" si="10"/>
        <v>0</v>
      </c>
      <c r="G92" s="1">
        <f t="shared" si="11"/>
        <v>0</v>
      </c>
      <c r="H92" s="1">
        <f t="shared" si="12"/>
        <v>0</v>
      </c>
    </row>
    <row r="93" spans="1:8" x14ac:dyDescent="0.25">
      <c r="A93" s="1">
        <v>82</v>
      </c>
      <c r="B93" s="1">
        <f t="shared" si="8"/>
        <v>77</v>
      </c>
      <c r="C93" s="1">
        <f t="shared" si="13"/>
        <v>0</v>
      </c>
      <c r="D93" s="1">
        <f t="shared" si="9"/>
        <v>0</v>
      </c>
      <c r="E93" s="1">
        <f t="shared" si="14"/>
        <v>0</v>
      </c>
      <c r="F93" s="1">
        <f t="shared" si="10"/>
        <v>0</v>
      </c>
      <c r="G93" s="1">
        <f t="shared" si="11"/>
        <v>0</v>
      </c>
      <c r="H93" s="1">
        <f t="shared" si="12"/>
        <v>0</v>
      </c>
    </row>
    <row r="94" spans="1:8" x14ac:dyDescent="0.25">
      <c r="A94" s="1">
        <v>83</v>
      </c>
      <c r="B94" s="1">
        <f t="shared" si="8"/>
        <v>78</v>
      </c>
      <c r="C94" s="1">
        <f t="shared" si="13"/>
        <v>0</v>
      </c>
      <c r="D94" s="1">
        <f t="shared" si="9"/>
        <v>0</v>
      </c>
      <c r="E94" s="1">
        <f t="shared" si="14"/>
        <v>0</v>
      </c>
      <c r="F94" s="1">
        <f t="shared" si="10"/>
        <v>0</v>
      </c>
      <c r="G94" s="1">
        <f t="shared" si="11"/>
        <v>0</v>
      </c>
      <c r="H94" s="1">
        <f t="shared" si="12"/>
        <v>0</v>
      </c>
    </row>
    <row r="95" spans="1:8" x14ac:dyDescent="0.25">
      <c r="A95" s="1">
        <v>84</v>
      </c>
      <c r="B95" s="1">
        <f t="shared" si="8"/>
        <v>79</v>
      </c>
      <c r="C95" s="1">
        <f t="shared" si="13"/>
        <v>0</v>
      </c>
      <c r="D95" s="1">
        <f t="shared" si="9"/>
        <v>0</v>
      </c>
      <c r="E95" s="1">
        <f t="shared" si="14"/>
        <v>0</v>
      </c>
      <c r="F95" s="1">
        <f t="shared" si="10"/>
        <v>0</v>
      </c>
      <c r="G95" s="1">
        <f t="shared" si="11"/>
        <v>0</v>
      </c>
      <c r="H95" s="1">
        <f t="shared" si="12"/>
        <v>0</v>
      </c>
    </row>
    <row r="96" spans="1:8" x14ac:dyDescent="0.25">
      <c r="A96" s="1">
        <v>85</v>
      </c>
      <c r="B96" s="1">
        <f t="shared" si="8"/>
        <v>80</v>
      </c>
      <c r="C96" s="1">
        <f t="shared" si="13"/>
        <v>0</v>
      </c>
      <c r="D96" s="1">
        <f t="shared" si="9"/>
        <v>0</v>
      </c>
      <c r="E96" s="1">
        <f t="shared" si="14"/>
        <v>0</v>
      </c>
      <c r="F96" s="1">
        <f t="shared" si="10"/>
        <v>0</v>
      </c>
      <c r="G96" s="1">
        <f t="shared" si="11"/>
        <v>0</v>
      </c>
      <c r="H96" s="1">
        <f t="shared" si="12"/>
        <v>0</v>
      </c>
    </row>
    <row r="97" spans="1:8" x14ac:dyDescent="0.25">
      <c r="A97" s="1">
        <v>86</v>
      </c>
      <c r="B97" s="1">
        <f t="shared" si="8"/>
        <v>81</v>
      </c>
      <c r="C97" s="1">
        <f t="shared" si="13"/>
        <v>0</v>
      </c>
      <c r="D97" s="1">
        <f t="shared" si="9"/>
        <v>0</v>
      </c>
      <c r="E97" s="1">
        <f t="shared" si="14"/>
        <v>0</v>
      </c>
      <c r="F97" s="1">
        <f t="shared" si="10"/>
        <v>0</v>
      </c>
      <c r="G97" s="1">
        <f t="shared" si="11"/>
        <v>0</v>
      </c>
      <c r="H97" s="1">
        <f t="shared" si="12"/>
        <v>0</v>
      </c>
    </row>
    <row r="98" spans="1:8" x14ac:dyDescent="0.25">
      <c r="A98" s="1">
        <v>87</v>
      </c>
      <c r="B98" s="1">
        <f t="shared" si="8"/>
        <v>82</v>
      </c>
      <c r="C98" s="1">
        <f t="shared" si="13"/>
        <v>0</v>
      </c>
      <c r="D98" s="1">
        <f t="shared" si="9"/>
        <v>0</v>
      </c>
      <c r="E98" s="1">
        <f t="shared" si="14"/>
        <v>0</v>
      </c>
      <c r="F98" s="1">
        <f t="shared" si="10"/>
        <v>0</v>
      </c>
      <c r="G98" s="1">
        <f t="shared" si="11"/>
        <v>0</v>
      </c>
      <c r="H98" s="1">
        <f t="shared" si="12"/>
        <v>0</v>
      </c>
    </row>
    <row r="99" spans="1:8" x14ac:dyDescent="0.25">
      <c r="A99" s="1">
        <v>88</v>
      </c>
      <c r="B99" s="1">
        <f t="shared" si="8"/>
        <v>83</v>
      </c>
      <c r="C99" s="1">
        <f t="shared" si="13"/>
        <v>0</v>
      </c>
      <c r="D99" s="1">
        <f t="shared" si="9"/>
        <v>0</v>
      </c>
      <c r="E99" s="1">
        <f t="shared" si="14"/>
        <v>0</v>
      </c>
      <c r="F99" s="1">
        <f t="shared" si="10"/>
        <v>0</v>
      </c>
      <c r="G99" s="1">
        <f t="shared" si="11"/>
        <v>0</v>
      </c>
      <c r="H99" s="1">
        <f t="shared" si="12"/>
        <v>0</v>
      </c>
    </row>
    <row r="100" spans="1:8" x14ac:dyDescent="0.25">
      <c r="A100" s="1">
        <v>89</v>
      </c>
      <c r="B100" s="1">
        <f t="shared" si="8"/>
        <v>84</v>
      </c>
      <c r="C100" s="1">
        <f t="shared" si="13"/>
        <v>0</v>
      </c>
      <c r="D100" s="1">
        <f t="shared" si="9"/>
        <v>0</v>
      </c>
      <c r="E100" s="1">
        <f t="shared" si="14"/>
        <v>0</v>
      </c>
      <c r="F100" s="1">
        <f t="shared" si="10"/>
        <v>0</v>
      </c>
      <c r="G100" s="1">
        <f t="shared" si="11"/>
        <v>0</v>
      </c>
      <c r="H100" s="1">
        <f t="shared" si="12"/>
        <v>0</v>
      </c>
    </row>
    <row r="101" spans="1:8" x14ac:dyDescent="0.25">
      <c r="A101" s="1">
        <v>90</v>
      </c>
      <c r="B101" s="1">
        <f t="shared" si="8"/>
        <v>85</v>
      </c>
      <c r="C101" s="1">
        <f t="shared" si="13"/>
        <v>0</v>
      </c>
      <c r="D101" s="1">
        <f t="shared" si="9"/>
        <v>0</v>
      </c>
      <c r="E101" s="1">
        <f t="shared" si="14"/>
        <v>0</v>
      </c>
      <c r="F101" s="1">
        <f t="shared" si="10"/>
        <v>0</v>
      </c>
      <c r="G101" s="1">
        <f t="shared" si="11"/>
        <v>0</v>
      </c>
      <c r="H101" s="1">
        <f t="shared" si="12"/>
        <v>0</v>
      </c>
    </row>
    <row r="102" spans="1:8" x14ac:dyDescent="0.25">
      <c r="A102" s="1">
        <v>91</v>
      </c>
      <c r="B102" s="1">
        <f t="shared" si="8"/>
        <v>86</v>
      </c>
      <c r="C102" s="1">
        <f t="shared" si="13"/>
        <v>0</v>
      </c>
      <c r="D102" s="1">
        <f t="shared" si="9"/>
        <v>0</v>
      </c>
      <c r="E102" s="1">
        <f t="shared" si="14"/>
        <v>0</v>
      </c>
      <c r="F102" s="1">
        <f t="shared" si="10"/>
        <v>0</v>
      </c>
      <c r="G102" s="1">
        <f t="shared" si="11"/>
        <v>0</v>
      </c>
      <c r="H102" s="1">
        <f t="shared" si="12"/>
        <v>0</v>
      </c>
    </row>
    <row r="103" spans="1:8" x14ac:dyDescent="0.25">
      <c r="A103" s="1">
        <v>92</v>
      </c>
      <c r="B103" s="1">
        <f t="shared" si="8"/>
        <v>87</v>
      </c>
      <c r="C103" s="1">
        <f t="shared" si="13"/>
        <v>0</v>
      </c>
      <c r="D103" s="1">
        <f t="shared" si="9"/>
        <v>0</v>
      </c>
      <c r="E103" s="1">
        <f t="shared" si="14"/>
        <v>0</v>
      </c>
      <c r="F103" s="1">
        <f t="shared" si="10"/>
        <v>0</v>
      </c>
      <c r="G103" s="1">
        <f t="shared" si="11"/>
        <v>0</v>
      </c>
      <c r="H103" s="1">
        <f t="shared" si="12"/>
        <v>0</v>
      </c>
    </row>
    <row r="104" spans="1:8" x14ac:dyDescent="0.25">
      <c r="A104" s="1">
        <v>93</v>
      </c>
      <c r="B104" s="1">
        <f t="shared" si="8"/>
        <v>88</v>
      </c>
      <c r="C104" s="1">
        <f t="shared" si="13"/>
        <v>0</v>
      </c>
      <c r="D104" s="1">
        <f t="shared" si="9"/>
        <v>0</v>
      </c>
      <c r="E104" s="1">
        <f t="shared" si="14"/>
        <v>0</v>
      </c>
      <c r="F104" s="1">
        <f t="shared" si="10"/>
        <v>0</v>
      </c>
      <c r="G104" s="1">
        <f t="shared" si="11"/>
        <v>0</v>
      </c>
      <c r="H104" s="1">
        <f t="shared" si="12"/>
        <v>0</v>
      </c>
    </row>
    <row r="105" spans="1:8" x14ac:dyDescent="0.25">
      <c r="A105" s="1">
        <v>94</v>
      </c>
      <c r="B105" s="1">
        <f t="shared" si="8"/>
        <v>89</v>
      </c>
      <c r="C105" s="1">
        <f t="shared" si="13"/>
        <v>0</v>
      </c>
      <c r="D105" s="1">
        <f t="shared" si="9"/>
        <v>0</v>
      </c>
      <c r="E105" s="1">
        <f t="shared" si="14"/>
        <v>0</v>
      </c>
      <c r="F105" s="1">
        <f t="shared" si="10"/>
        <v>0</v>
      </c>
      <c r="G105" s="1">
        <f t="shared" si="11"/>
        <v>0</v>
      </c>
      <c r="H105" s="1">
        <f t="shared" si="12"/>
        <v>0</v>
      </c>
    </row>
    <row r="106" spans="1:8" x14ac:dyDescent="0.25">
      <c r="A106" s="1">
        <v>95</v>
      </c>
      <c r="B106" s="1">
        <f t="shared" si="8"/>
        <v>90</v>
      </c>
      <c r="C106" s="1">
        <f t="shared" si="13"/>
        <v>0</v>
      </c>
      <c r="D106" s="1">
        <f t="shared" si="9"/>
        <v>0</v>
      </c>
      <c r="E106" s="1">
        <f t="shared" si="14"/>
        <v>0</v>
      </c>
      <c r="F106" s="1">
        <f t="shared" si="10"/>
        <v>0</v>
      </c>
      <c r="G106" s="1">
        <f t="shared" si="11"/>
        <v>0</v>
      </c>
      <c r="H106" s="1">
        <f t="shared" si="12"/>
        <v>0</v>
      </c>
    </row>
    <row r="107" spans="1:8" x14ac:dyDescent="0.25">
      <c r="A107" s="1">
        <v>96</v>
      </c>
      <c r="B107" s="1">
        <f t="shared" si="8"/>
        <v>91</v>
      </c>
      <c r="C107" s="1">
        <f t="shared" si="13"/>
        <v>0</v>
      </c>
      <c r="D107" s="1">
        <f t="shared" si="9"/>
        <v>0</v>
      </c>
      <c r="E107" s="1">
        <f t="shared" si="14"/>
        <v>0</v>
      </c>
      <c r="F107" s="1">
        <f t="shared" si="10"/>
        <v>0</v>
      </c>
      <c r="G107" s="1">
        <f t="shared" si="11"/>
        <v>0</v>
      </c>
      <c r="H107" s="1">
        <f t="shared" si="12"/>
        <v>0</v>
      </c>
    </row>
    <row r="108" spans="1:8" x14ac:dyDescent="0.25">
      <c r="A108" s="1">
        <v>97</v>
      </c>
      <c r="B108" s="1">
        <f t="shared" si="8"/>
        <v>92</v>
      </c>
      <c r="C108" s="1">
        <f t="shared" si="13"/>
        <v>0</v>
      </c>
      <c r="D108" s="1">
        <f t="shared" si="9"/>
        <v>0</v>
      </c>
      <c r="E108" s="1">
        <f t="shared" si="14"/>
        <v>0</v>
      </c>
      <c r="F108" s="1">
        <f t="shared" si="10"/>
        <v>0</v>
      </c>
      <c r="G108" s="1">
        <f t="shared" si="11"/>
        <v>0</v>
      </c>
      <c r="H108" s="1">
        <f t="shared" si="12"/>
        <v>0</v>
      </c>
    </row>
    <row r="109" spans="1:8" x14ac:dyDescent="0.25">
      <c r="A109" s="1">
        <v>98</v>
      </c>
      <c r="B109" s="1">
        <f t="shared" si="8"/>
        <v>93</v>
      </c>
      <c r="C109" s="1">
        <f t="shared" si="13"/>
        <v>0</v>
      </c>
      <c r="D109" s="1">
        <f t="shared" si="9"/>
        <v>0</v>
      </c>
      <c r="E109" s="1">
        <f t="shared" si="14"/>
        <v>0</v>
      </c>
      <c r="F109" s="1">
        <f t="shared" si="10"/>
        <v>0</v>
      </c>
      <c r="G109" s="1">
        <f t="shared" si="11"/>
        <v>0</v>
      </c>
      <c r="H109" s="1">
        <f t="shared" si="12"/>
        <v>0</v>
      </c>
    </row>
    <row r="110" spans="1:8" x14ac:dyDescent="0.25">
      <c r="A110" s="1">
        <v>99</v>
      </c>
      <c r="B110" s="1">
        <f t="shared" si="8"/>
        <v>94</v>
      </c>
      <c r="C110" s="1">
        <f t="shared" si="13"/>
        <v>0</v>
      </c>
      <c r="D110" s="1">
        <f t="shared" si="9"/>
        <v>0</v>
      </c>
      <c r="E110" s="1">
        <f t="shared" si="14"/>
        <v>0</v>
      </c>
      <c r="F110" s="1">
        <f t="shared" si="10"/>
        <v>0</v>
      </c>
      <c r="G110" s="1">
        <f t="shared" si="11"/>
        <v>0</v>
      </c>
      <c r="H110" s="1">
        <f t="shared" si="12"/>
        <v>0</v>
      </c>
    </row>
    <row r="111" spans="1:8" x14ac:dyDescent="0.25">
      <c r="A111" s="1">
        <v>100</v>
      </c>
      <c r="B111" s="1">
        <f t="shared" si="8"/>
        <v>95</v>
      </c>
      <c r="C111" s="1">
        <f t="shared" si="13"/>
        <v>0</v>
      </c>
      <c r="D111" s="1">
        <f t="shared" si="9"/>
        <v>0</v>
      </c>
      <c r="E111" s="1">
        <f t="shared" si="14"/>
        <v>0</v>
      </c>
      <c r="F111" s="1">
        <f t="shared" si="10"/>
        <v>0</v>
      </c>
      <c r="G111" s="1">
        <f t="shared" si="11"/>
        <v>0</v>
      </c>
      <c r="H111" s="1">
        <f t="shared" si="12"/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Thuat</dc:creator>
  <cp:lastModifiedBy>Nguyễn Lê Như Thuận</cp:lastModifiedBy>
  <dcterms:created xsi:type="dcterms:W3CDTF">2017-03-04T08:36:56Z</dcterms:created>
  <dcterms:modified xsi:type="dcterms:W3CDTF">2025-10-16T17:41:06Z</dcterms:modified>
</cp:coreProperties>
</file>